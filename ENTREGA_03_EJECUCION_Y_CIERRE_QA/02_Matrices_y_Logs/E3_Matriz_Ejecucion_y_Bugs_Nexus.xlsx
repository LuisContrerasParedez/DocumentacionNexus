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er_primero" sheetId="1" state="visible" r:id="rId1"/>
    <sheet xmlns:r="http://schemas.openxmlformats.org/officeDocument/2006/relationships" name="Verificacion_STLC" sheetId="2" state="visible" r:id="rId2"/>
    <sheet xmlns:r="http://schemas.openxmlformats.org/officeDocument/2006/relationships" name="Criterios_Entrada_MTP" sheetId="3" state="visible" r:id="rId3"/>
    <sheet xmlns:r="http://schemas.openxmlformats.org/officeDocument/2006/relationships" name="RTM_Final" sheetId="4" state="visible" r:id="rId4"/>
    <sheet xmlns:r="http://schemas.openxmlformats.org/officeDocument/2006/relationships" name="Log_Ejecucion" sheetId="5" state="visible" r:id="rId5"/>
    <sheet xmlns:r="http://schemas.openxmlformats.org/officeDocument/2006/relationships" name="Log_Ciclo1_19-10" sheetId="6" state="visible" r:id="rId6"/>
    <sheet xmlns:r="http://schemas.openxmlformats.org/officeDocument/2006/relationships" name="Bug_Tracker" sheetId="7" state="visible" r:id="rId7"/>
    <sheet xmlns:r="http://schemas.openxmlformats.org/officeDocument/2006/relationships" name="Fichas_Defectos" sheetId="8" state="visible" r:id="rId8"/>
    <sheet xmlns:r="http://schemas.openxmlformats.org/officeDocument/2006/relationships" name="Metricas_TSR" sheetId="9" state="visible" r:id="rId9"/>
    <sheet xmlns:r="http://schemas.openxmlformats.org/officeDocument/2006/relationships" name="Criterios_Salida" sheetId="10" state="visible" r:id="rId10"/>
    <sheet xmlns:r="http://schemas.openxmlformats.org/officeDocument/2006/relationships" name="Veredicto" sheetId="11" state="visible" r:id="rId11"/>
    <sheet xmlns:r="http://schemas.openxmlformats.org/officeDocument/2006/relationships" name="Readiness" sheetId="12" state="visible" r:id="rId12"/>
    <sheet xmlns:r="http://schemas.openxmlformats.org/officeDocument/2006/relationships" name="Lecciones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%"/>
    <numFmt numFmtId="166" formatCode="0.000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family val="2"/>
      <sz val="10"/>
    </font>
  </fonts>
  <fills count="5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164" fontId="5" fillId="4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165" fontId="5" fillId="3" borderId="1" applyAlignment="1" pivotButton="0" quotePrefix="0" xfId="0">
      <alignment horizontal="general" vertical="top" wrapText="1"/>
    </xf>
    <xf numFmtId="166" fontId="5" fillId="3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1" fontId="5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4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164" fontId="5" fillId="4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general" vertical="top" wrapText="1"/>
    </xf>
    <xf numFmtId="165" fontId="5" fillId="3" borderId="1" applyAlignment="1" pivotButton="0" quotePrefix="0" xfId="0">
      <alignment horizontal="general" vertical="top" wrapText="1"/>
    </xf>
    <xf numFmtId="166" fontId="5" fillId="3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top" wrapText="1"/>
    </xf>
    <xf numFmtId="165" fontId="5" fillId="3" borderId="1" applyAlignment="1" pivotButton="0" quotePrefix="0" xfId="0">
      <alignment horizontal="general" vertical="top" wrapText="1"/>
    </xf>
    <xf numFmtId="1" fontId="5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Unknown Author</author>
  </authors>
  <commentList>
    <comment ref="B7" authorId="0" shapeId="0">
      <text>
        <t>El MTP de la E1 no fijó un umbral de Pass Rate; se adopta &gt;= 90 % como métrica complementaria (referencia: guía de la Entrega 3).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2" min="1" max="1"/>
    <col width="110" customWidth="1" style="12" min="2" max="2"/>
  </cols>
  <sheetData>
    <row r="1" ht="15" customHeight="1" s="13">
      <c r="A1" s="14" t="inlineStr">
        <is>
          <t>Proyecto</t>
        </is>
      </c>
      <c r="B1" s="15" t="inlineStr">
        <is>
          <t>BancoERP - Nexus · Entrega 3: Ejecución, gestión de defectos y cierre del STLC</t>
        </is>
      </c>
    </row>
    <row r="2" ht="15" customHeight="1" s="13">
      <c r="A2" s="14" t="inlineStr">
        <is>
          <t>Equipo</t>
        </is>
      </c>
      <c r="B2" s="15" t="inlineStr">
        <is>
          <t>Luis Contreras (Líder QA) · Walter Rosales (QA Funcional) · Anderson Ariana (QA Técnico) · Sergio Och (QA Datos)</t>
        </is>
      </c>
    </row>
    <row r="3" ht="26.25" customHeight="1" s="13">
      <c r="A3" s="14" t="inlineStr">
        <is>
          <t>Celdas a llenar</t>
        </is>
      </c>
      <c r="B3" s="15" t="inlineStr">
        <is>
          <t>Las celdas AMARILLAS: en Log_Ejecucion (Fecha, Resultado_Obtenido, Estado, ID_Defecto, Evidencia), en Bug_Tracker (filas nuevas), en Criterios_Salida (Regresión y aceptación del PO) y en Veredicto (veredicto individual).</t>
        </is>
      </c>
    </row>
    <row r="4" ht="26.25" customHeight="1" s="13">
      <c r="A4" s="14" t="inlineStr">
        <is>
          <t>Celdas calculadas</t>
        </is>
      </c>
      <c r="B4" s="15" t="inlineStr">
        <is>
          <t>Las celdas VERDES se calculan solas: RTM_Final (resultado por REQ), Metricas_TSR, Criterios_Salida (valor y estado) y el veredicto final.</t>
        </is>
      </c>
    </row>
    <row r="5" ht="26.25" customHeight="1" s="13">
      <c r="A5" s="14" t="inlineStr">
        <is>
          <t>Estados válidos</t>
        </is>
      </c>
      <c r="B5" s="15" t="inlineStr">
        <is>
          <t>Pass · Fail · Blocked · Skipped · Pendiente (lista desplegable). Todo Fail debe tener ID_Defecto y una fila en Bug_Tracker.</t>
        </is>
      </c>
    </row>
    <row r="6" ht="26.25" customHeight="1" s="13">
      <c r="A6" s="14" t="inlineStr">
        <is>
          <t>Ejemplo de llenado (NO es un resultado real)</t>
        </is>
      </c>
      <c r="B6" s="15" t="inlineStr">
        <is>
          <t>Fecha: 20/10/2026 · Resultado_Obtenido: HTTP 401 "Credenciales incorrectas. Intento 1 de 5." · Estado: Pass · ID_Defecto: N/A · Evidencia: Postman TC-REQ01-002 / captura opcional</t>
        </is>
      </c>
    </row>
    <row r="7" ht="26.25" customHeight="1" s="13">
      <c r="A7" s="14" t="inlineStr">
        <is>
          <t>Ejemplo de un Fail (NO es un resultado real)</t>
        </is>
      </c>
      <c r="B7" s="15" t="inlineStr">
        <is>
          <t>Resultado_Obtenido: HTTP 200 y el retiro se procesó · Estado: Fail · ID_Defecto: BUG-NEX-02 · Evidencia: Capturas_Bugs/Evidencia_BUG02_Sergio.png</t>
        </is>
      </c>
    </row>
    <row r="8" ht="15" customHeight="1" s="13">
      <c r="A8" s="14" t="inlineStr">
        <is>
          <t>Fuente</t>
        </is>
      </c>
      <c r="B8" s="15" t="inlineStr">
        <is>
          <t>Casos, datos y criterios provienen del Master Test Plan (E1) y del Documento de Diseño e Implementación (E2).</t>
        </is>
      </c>
    </row>
    <row r="9">
      <c r="A9" s="16" t="inlineStr">
        <is>
          <t>Ciclos de ejecución</t>
        </is>
      </c>
      <c r="B9" s="17" t="inlineStr">
        <is>
          <t>Log_Ejecucion contiene el ciclo 2 (22/10/2026, build corregida) y alimenta métricas, criterios y veredicto. El ciclo 1 (19/10/2026, NO-GO) se conserva sin cambios en Log_Ciclo1_19-10 y en el acta histórica de la hoja Veredicto.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2" min="1" max="1"/>
    <col width="30" customWidth="1" style="12" min="2" max="2"/>
    <col width="60" customWidth="1" style="12" min="3" max="3"/>
    <col width="30" customWidth="1" style="12" min="4" max="4"/>
    <col width="34" customWidth="1" style="12" min="5" max="5"/>
  </cols>
  <sheetData>
    <row r="1" ht="15" customHeight="1" s="13">
      <c r="A1" s="18" t="inlineStr">
        <is>
          <t>Fase_STLC</t>
        </is>
      </c>
      <c r="B1" s="18" t="inlineStr">
        <is>
          <t>Entregable_Clave</t>
        </is>
      </c>
      <c r="C1" s="18" t="inlineStr">
        <is>
          <t>Criterio_Verificado</t>
        </is>
      </c>
      <c r="D1" s="18" t="inlineStr">
        <is>
          <t>Estado_Cumplimiento</t>
        </is>
      </c>
      <c r="E1" s="18" t="inlineStr">
        <is>
          <t>Especialista_QA_Responsable</t>
        </is>
      </c>
    </row>
    <row r="2" ht="26.25" customHeight="1" s="13">
      <c r="A2" s="15" t="inlineStr">
        <is>
          <t>Fase 1: Planificación</t>
        </is>
      </c>
      <c r="B2" s="15" t="inlineStr">
        <is>
          <t>Master Test Plan (E1)</t>
        </is>
      </c>
      <c r="C2" s="15" t="inlineStr">
        <is>
          <t>Alcance y criterios de entrada/salida definidos; 6 de 6 criterios de entrada evaluados</t>
        </is>
      </c>
      <c r="D2" s="15" t="inlineStr">
        <is>
          <t>Cumplido</t>
        </is>
      </c>
      <c r="E2" s="15" t="inlineStr">
        <is>
          <t>Luis Contreras</t>
        </is>
      </c>
    </row>
    <row r="3" ht="26.25" customHeight="1" s="13">
      <c r="A3" s="15" t="inlineStr">
        <is>
          <t>Fase 2: Análisis</t>
        </is>
      </c>
      <c r="B3" s="15" t="inlineStr">
        <is>
          <t>RTM base (E1) y actualizada (E2)</t>
        </is>
      </c>
      <c r="C3" s="15" t="inlineStr">
        <is>
          <t>18 de 18 requerimientos revisados y trazados a casos</t>
        </is>
      </c>
      <c r="D3" s="15" t="inlineStr">
        <is>
          <t>Cumplido</t>
        </is>
      </c>
      <c r="E3" s="15" t="inlineStr">
        <is>
          <t>Walter Rosales</t>
        </is>
      </c>
    </row>
    <row r="4" ht="26.25" customHeight="1" s="13">
      <c r="A4" s="15" t="inlineStr">
        <is>
          <t>Fase 3: Diseño</t>
        </is>
      </c>
      <c r="B4" s="15" t="inlineStr">
        <is>
          <t>Repositorio de casos — Formato 1 (E2)</t>
        </is>
      </c>
      <c r="C4" s="15" t="inlineStr">
        <is>
          <t>46 casos con las 5 técnicas de caja negra</t>
        </is>
      </c>
      <c r="D4" s="15" t="inlineStr">
        <is>
          <t>Cumplido</t>
        </is>
      </c>
      <c r="E4" s="15" t="inlineStr">
        <is>
          <t>Walter Rosales / Anderson Ariana</t>
        </is>
      </c>
    </row>
    <row r="5" ht="26.25" customHeight="1" s="13">
      <c r="A5" s="15" t="inlineStr">
        <is>
          <t>Fase 4: Implementación</t>
        </is>
      </c>
      <c r="B5" s="15" t="inlineStr">
        <is>
          <t>Informe de Readiness — Formato 2 (E2)</t>
        </is>
      </c>
      <c r="C5" s="15" t="inlineStr">
        <is>
          <t>Ambiente QA aislado (RD-01..RD-15) y Mock Data sintética cargada</t>
        </is>
      </c>
      <c r="D5" s="15" t="inlineStr">
        <is>
          <t>Cumplido (RD-16 cerrado el 19/10/2026: Checklist_DB_Nexus.txt, 13/13 ok)</t>
        </is>
      </c>
      <c r="E5" s="15" t="inlineStr">
        <is>
          <t>Anderson Ariana / Sergio Och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2" min="1" max="1"/>
    <col width="60" customWidth="1" style="12" min="2" max="2"/>
    <col width="24" customWidth="1" style="12" min="3" max="3"/>
    <col width="50" customWidth="1" style="12" min="4" max="4"/>
    <col width="20" customWidth="1" style="12" min="5" max="5"/>
  </cols>
  <sheetData>
    <row r="1" ht="15" customHeight="1" s="13">
      <c r="A1" s="18" t="inlineStr">
        <is>
          <t>Criterio (MTP)</t>
        </is>
      </c>
      <c r="B1" s="18" t="inlineStr">
        <is>
          <t>Condición verificable</t>
        </is>
      </c>
      <c r="C1" s="18" t="inlineStr">
        <is>
          <t>Estado</t>
        </is>
      </c>
      <c r="D1" s="18" t="inlineStr">
        <is>
          <t>Evidencia</t>
        </is>
      </c>
      <c r="E1" s="18" t="inlineStr">
        <is>
          <t>Responsable</t>
        </is>
      </c>
    </row>
    <row r="2" ht="26.25" customHeight="1" s="13">
      <c r="A2" s="15" t="inlineStr">
        <is>
          <t>Ambiente disponible</t>
        </is>
      </c>
      <c r="B2" s="15" t="inlineStr">
        <is>
          <t>Frontend, InternalAPI, PublicAPI y PostgreSQL de QA levantan sin errores; /api/ping y /api/home responden; Swagger accesible</t>
        </is>
      </c>
      <c r="C2" s="15" t="inlineStr">
        <is>
          <t>Cumplido</t>
        </is>
      </c>
      <c r="D2" s="15" t="inlineStr">
        <is>
          <t>RD-01..RD-04 (06/10/2026)</t>
        </is>
      </c>
      <c r="E2" s="15" t="inlineStr">
        <is>
          <t>Anderson Ariana</t>
        </is>
      </c>
    </row>
    <row r="3" ht="26.25" customHeight="1" s="13">
      <c r="A3" s="15" t="inlineStr">
        <is>
          <t>Build disponible</t>
        </is>
      </c>
      <c r="B3" s="15" t="inlineStr">
        <is>
          <t>Baseline identificable (commit/tag) y build compila en Docker</t>
        </is>
      </c>
      <c r="C3" s="15" t="inlineStr">
        <is>
          <t>Cumplido</t>
        </is>
      </c>
      <c r="D3" s="15" t="inlineStr">
        <is>
          <t>Commit 28f3faf; imágenes internal-api/public-api corriendo (RD-01, RD-06 image_id)</t>
        </is>
      </c>
      <c r="E3" s="15" t="inlineStr">
        <is>
          <t>Luis Contreras</t>
        </is>
      </c>
    </row>
    <row r="4" ht="26.25" customHeight="1" s="13">
      <c r="A4" s="15" t="inlineStr">
        <is>
          <t>Requerimientos revisados</t>
        </is>
      </c>
      <c r="B4" s="15" t="inlineStr">
        <is>
          <t>100% de REQ-01..REQ-18 revisados y hallazgos críticos elevados</t>
        </is>
      </c>
      <c r="C4" s="15" t="inlineStr">
        <is>
          <t>Cumplido</t>
        </is>
      </c>
      <c r="D4" s="15" t="inlineStr">
        <is>
          <t>MTP E1: Formato 16 (hallazgos H-01..H-08); E2 sección 5</t>
        </is>
      </c>
      <c r="E4" s="15" t="inlineStr">
        <is>
          <t>Luis Contreras</t>
        </is>
      </c>
    </row>
    <row r="5" ht="26.25" customHeight="1" s="13">
      <c r="A5" s="15" t="inlineStr">
        <is>
          <t>Datos preparados</t>
        </is>
      </c>
      <c r="B5" s="15" t="inlineStr">
        <is>
          <t>Usuarios por rol, clientes sintéticos, cuentas por estado/tipo, caja, bancos ACH y fronteras sin datos reales</t>
        </is>
      </c>
      <c r="C5" s="15" t="inlineStr">
        <is>
          <t>Cumplido</t>
        </is>
      </c>
      <c r="D5" s="15" t="inlineStr">
        <is>
          <t>Carga base RD-05; capa Nexus cargada y checklist C-01..C-13 en ok = t (Checklist_DB_Nexus.txt, 19/10/2026)</t>
        </is>
      </c>
      <c r="E5" s="15" t="inlineStr">
        <is>
          <t>Sergio Och</t>
        </is>
      </c>
    </row>
    <row r="6" ht="26.25" customHeight="1" s="13">
      <c r="A6" s="15" t="inlineStr">
        <is>
          <t>Configuración de seguridad congelada</t>
        </is>
      </c>
      <c r="B6" s="15" t="inlineStr">
        <is>
          <t>Intentos fallidos, expiración JWT/refresh/recuperación y política de contraseña registrados</t>
        </is>
      </c>
      <c r="C6" s="15" t="inlineStr">
        <is>
          <t>Cumplido</t>
        </is>
      </c>
      <c r="D6" s="15" t="inlineStr">
        <is>
          <t>E2 sección 1.2 = docker-compose.qa.yml (5 / 1 h / 7 d / 2 h / 5)</t>
        </is>
      </c>
      <c r="E6" s="15" t="inlineStr">
        <is>
          <t>Anderson Ariana</t>
        </is>
      </c>
    </row>
    <row r="7" ht="26.25" customHeight="1" s="13">
      <c r="A7" s="15" t="inlineStr">
        <is>
          <t>Seeds/dependencias validados</t>
        </is>
      </c>
      <c r="B7" s="15" t="inlineStr">
        <is>
          <t>Catálogos, tipos de cuenta, plan contable y entidades de SPs cargados</t>
        </is>
      </c>
      <c r="C7" s="15" t="inlineStr">
        <is>
          <t>Cumplido</t>
        </is>
      </c>
      <c r="D7" s="15" t="inlineStr">
        <is>
          <t>C-08 plan 1101/2101/2102 activo y C-09 tipos AHORRO/MONETARIA (Checklist_DB_Nexus.txt, 19/10/2026)</t>
        </is>
      </c>
      <c r="E7" s="15" t="inlineStr">
        <is>
          <t>Sergio Och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2" min="1" max="1"/>
    <col width="12" customWidth="1" style="12" min="2" max="3"/>
    <col width="40" customWidth="1" style="12" min="4" max="5"/>
    <col width="20" customWidth="1" style="12" min="6" max="6"/>
    <col width="18" customWidth="1" style="12" min="7" max="7"/>
    <col width="11" customWidth="1" style="12" min="8" max="8"/>
    <col width="8" customWidth="1" style="12" min="9" max="10"/>
    <col width="9" customWidth="1" style="12" min="11" max="11"/>
    <col width="11" customWidth="1" style="12" min="12" max="12"/>
    <col width="16" customWidth="1" style="12" min="13" max="13"/>
  </cols>
  <sheetData>
    <row r="1" ht="26.25" customHeight="1" s="13">
      <c r="A1" s="18" t="inlineStr">
        <is>
          <t>REQ</t>
        </is>
      </c>
      <c r="B1" s="18" t="inlineStr">
        <is>
          <t>Prioridad_E1</t>
        </is>
      </c>
      <c r="C1" s="18" t="inlineStr">
        <is>
          <t>Riesgo</t>
        </is>
      </c>
      <c r="D1" s="18" t="inlineStr">
        <is>
          <t>Casos</t>
        </is>
      </c>
      <c r="E1" s="18" t="inlineStr">
        <is>
          <t>Tecnicas</t>
        </is>
      </c>
      <c r="F1" s="18" t="inlineStr">
        <is>
          <t>Modulo</t>
        </is>
      </c>
      <c r="G1" s="18" t="inlineStr">
        <is>
          <t>Especialista_QA</t>
        </is>
      </c>
      <c r="H1" s="18" t="inlineStr">
        <is>
          <t>Casos_total</t>
        </is>
      </c>
      <c r="I1" s="18" t="inlineStr">
        <is>
          <t>Pass</t>
        </is>
      </c>
      <c r="J1" s="18" t="inlineStr">
        <is>
          <t>Fail</t>
        </is>
      </c>
      <c r="K1" s="18" t="inlineStr">
        <is>
          <t>Blocked</t>
        </is>
      </c>
      <c r="L1" s="18" t="inlineStr">
        <is>
          <t>Pendientes</t>
        </is>
      </c>
      <c r="M1" s="18" t="inlineStr">
        <is>
          <t>Resultado_REQ</t>
        </is>
      </c>
    </row>
    <row r="2" ht="26.25" customHeight="1" s="13">
      <c r="A2" s="15" t="inlineStr">
        <is>
          <t>REQ-01</t>
        </is>
      </c>
      <c r="B2" s="15" t="inlineStr">
        <is>
          <t>Crítica</t>
        </is>
      </c>
      <c r="C2" s="15" t="inlineStr">
        <is>
          <t>R-02</t>
        </is>
      </c>
      <c r="D2" s="15" t="inlineStr">
        <is>
          <t>TC-REQ01-001, TC-REQ01-002, TC-REQ01-003</t>
        </is>
      </c>
      <c r="E2" s="15" t="inlineStr">
        <is>
          <t>Análisis de Valores Límite; Partición de Equivalencia; Tabla de Decisión</t>
        </is>
      </c>
      <c r="F2" s="15" t="inlineStr">
        <is>
          <t>Seguridad y sesiones</t>
        </is>
      </c>
      <c r="G2" s="15" t="inlineStr">
        <is>
          <t>Anderson Ariana</t>
        </is>
      </c>
      <c r="H2" s="19">
        <f>COUNTIF(Log_Ejecucion!$B$2:$B$47,A2)</f>
        <v/>
      </c>
      <c r="I2" s="19">
        <f>COUNTIFS(Log_Ejecucion!$B$2:$B$47,A2,Log_Ejecucion!$J$2:$J$47,"Pass")</f>
        <v/>
      </c>
      <c r="J2" s="19">
        <f>COUNTIFS(Log_Ejecucion!$B$2:$B$47,A2,Log_Ejecucion!$J$2:$J$47,"Fail")</f>
        <v/>
      </c>
      <c r="K2" s="19">
        <f>COUNTIFS(Log_Ejecucion!$B$2:$B$47,A2,Log_Ejecucion!$J$2:$J$47,"Blocked")</f>
        <v/>
      </c>
      <c r="L2" s="19">
        <f>COUNTIFS(Log_Ejecucion!$B$2:$B$47,A2,Log_Ejecucion!$J$2:$J$47,"Pendiente")</f>
        <v/>
      </c>
      <c r="M2" s="19">
        <f>IF(L2=H2,"Pendiente",IF(J2&gt;0,"Con fallos",IF(I2=H2,"Aprobado","Parcial")))</f>
        <v/>
      </c>
    </row>
    <row r="3" ht="26.25" customHeight="1" s="13">
      <c r="A3" s="15" t="inlineStr">
        <is>
          <t>REQ-02</t>
        </is>
      </c>
      <c r="B3" s="15" t="inlineStr">
        <is>
          <t>Crítica</t>
        </is>
      </c>
      <c r="C3" s="15" t="inlineStr">
        <is>
          <t>R-02</t>
        </is>
      </c>
      <c r="D3" s="15" t="inlineStr">
        <is>
          <t>TC-REQ02-001, TC-REQ02-002</t>
        </is>
      </c>
      <c r="E3" s="15" t="inlineStr">
        <is>
          <t>Transición de Estados</t>
        </is>
      </c>
      <c r="F3" s="15" t="inlineStr">
        <is>
          <t>Seguridad y sesiones</t>
        </is>
      </c>
      <c r="G3" s="15" t="inlineStr">
        <is>
          <t>Anderson Ariana</t>
        </is>
      </c>
      <c r="H3" s="19">
        <f>COUNTIF(Log_Ejecucion!$B$2:$B$47,A3)</f>
        <v/>
      </c>
      <c r="I3" s="19">
        <f>COUNTIFS(Log_Ejecucion!$B$2:$B$47,A3,Log_Ejecucion!$J$2:$J$47,"Pass")</f>
        <v/>
      </c>
      <c r="J3" s="19">
        <f>COUNTIFS(Log_Ejecucion!$B$2:$B$47,A3,Log_Ejecucion!$J$2:$J$47,"Fail")</f>
        <v/>
      </c>
      <c r="K3" s="19">
        <f>COUNTIFS(Log_Ejecucion!$B$2:$B$47,A3,Log_Ejecucion!$J$2:$J$47,"Blocked")</f>
        <v/>
      </c>
      <c r="L3" s="19">
        <f>COUNTIFS(Log_Ejecucion!$B$2:$B$47,A3,Log_Ejecucion!$J$2:$J$47,"Pendiente")</f>
        <v/>
      </c>
      <c r="M3" s="19">
        <f>IF(L3=H3,"Pendiente",IF(J3&gt;0,"Con fallos",IF(I3=H3,"Aprobado","Parcial")))</f>
        <v/>
      </c>
    </row>
    <row r="4" ht="26.25" customHeight="1" s="13">
      <c r="A4" s="15" t="inlineStr">
        <is>
          <t>REQ-03</t>
        </is>
      </c>
      <c r="B4" s="15" t="inlineStr">
        <is>
          <t>Crítica</t>
        </is>
      </c>
      <c r="C4" s="15" t="inlineStr">
        <is>
          <t>R-01</t>
        </is>
      </c>
      <c r="D4" s="15" t="inlineStr">
        <is>
          <t>TC-REQ03-001, TC-REQ03-002</t>
        </is>
      </c>
      <c r="E4" s="15" t="inlineStr">
        <is>
          <t>Pairwise</t>
        </is>
      </c>
      <c r="F4" s="15" t="inlineStr">
        <is>
          <t>Seguridad y sesiones</t>
        </is>
      </c>
      <c r="G4" s="15" t="inlineStr">
        <is>
          <t>Anderson Ariana</t>
        </is>
      </c>
      <c r="H4" s="19">
        <f>COUNTIF(Log_Ejecucion!$B$2:$B$47,A4)</f>
        <v/>
      </c>
      <c r="I4" s="19">
        <f>COUNTIFS(Log_Ejecucion!$B$2:$B$47,A4,Log_Ejecucion!$J$2:$J$47,"Pass")</f>
        <v/>
      </c>
      <c r="J4" s="19">
        <f>COUNTIFS(Log_Ejecucion!$B$2:$B$47,A4,Log_Ejecucion!$J$2:$J$47,"Fail")</f>
        <v/>
      </c>
      <c r="K4" s="19">
        <f>COUNTIFS(Log_Ejecucion!$B$2:$B$47,A4,Log_Ejecucion!$J$2:$J$47,"Blocked")</f>
        <v/>
      </c>
      <c r="L4" s="19">
        <f>COUNTIFS(Log_Ejecucion!$B$2:$B$47,A4,Log_Ejecucion!$J$2:$J$47,"Pendiente")</f>
        <v/>
      </c>
      <c r="M4" s="19">
        <f>IF(L4=H4,"Pendiente",IF(J4&gt;0,"Con fallos",IF(I4=H4,"Aprobado","Parcial")))</f>
        <v/>
      </c>
    </row>
    <row r="5" ht="26.25" customHeight="1" s="13">
      <c r="A5" s="15" t="inlineStr">
        <is>
          <t>REQ-04</t>
        </is>
      </c>
      <c r="B5" s="15" t="inlineStr">
        <is>
          <t>Alta</t>
        </is>
      </c>
      <c r="C5" s="15" t="inlineStr">
        <is>
          <t>R-09</t>
        </is>
      </c>
      <c r="D5" s="15" t="inlineStr">
        <is>
          <t>TC-REQ04-001, TC-REQ04-002, TC-REQ04-003</t>
        </is>
      </c>
      <c r="E5" s="15" t="inlineStr">
        <is>
          <t>Análisis de Valores Límite; Partición de Equivalencia</t>
        </is>
      </c>
      <c r="F5" s="15" t="inlineStr">
        <is>
          <t>Clientes</t>
        </is>
      </c>
      <c r="G5" s="15" t="inlineStr">
        <is>
          <t>Walter Rosales</t>
        </is>
      </c>
      <c r="H5" s="19">
        <f>COUNTIF(Log_Ejecucion!$B$2:$B$47,A5)</f>
        <v/>
      </c>
      <c r="I5" s="19">
        <f>COUNTIFS(Log_Ejecucion!$B$2:$B$47,A5,Log_Ejecucion!$J$2:$J$47,"Pass")</f>
        <v/>
      </c>
      <c r="J5" s="19">
        <f>COUNTIFS(Log_Ejecucion!$B$2:$B$47,A5,Log_Ejecucion!$J$2:$J$47,"Fail")</f>
        <v/>
      </c>
      <c r="K5" s="19">
        <f>COUNTIFS(Log_Ejecucion!$B$2:$B$47,A5,Log_Ejecucion!$J$2:$J$47,"Blocked")</f>
        <v/>
      </c>
      <c r="L5" s="19">
        <f>COUNTIFS(Log_Ejecucion!$B$2:$B$47,A5,Log_Ejecucion!$J$2:$J$47,"Pendiente")</f>
        <v/>
      </c>
      <c r="M5" s="19">
        <f>IF(L5=H5,"Pendiente",IF(J5&gt;0,"Con fallos",IF(I5=H5,"Aprobado","Parcial")))</f>
        <v/>
      </c>
    </row>
    <row r="6" ht="15" customHeight="1" s="13">
      <c r="A6" s="15" t="inlineStr">
        <is>
          <t>REQ-05</t>
        </is>
      </c>
      <c r="B6" s="15" t="inlineStr">
        <is>
          <t>Alta</t>
        </is>
      </c>
      <c r="C6" s="15" t="inlineStr">
        <is>
          <t>R-07</t>
        </is>
      </c>
      <c r="D6" s="15" t="inlineStr">
        <is>
          <t>TC-REQ05-001, TC-REQ05-002</t>
        </is>
      </c>
      <c r="E6" s="15" t="inlineStr">
        <is>
          <t>Transición de Estados</t>
        </is>
      </c>
      <c r="F6" s="15" t="inlineStr">
        <is>
          <t>Clientes</t>
        </is>
      </c>
      <c r="G6" s="15" t="inlineStr">
        <is>
          <t>Walter Rosales</t>
        </is>
      </c>
      <c r="H6" s="19">
        <f>COUNTIF(Log_Ejecucion!$B$2:$B$47,A6)</f>
        <v/>
      </c>
      <c r="I6" s="19">
        <f>COUNTIFS(Log_Ejecucion!$B$2:$B$47,A6,Log_Ejecucion!$J$2:$J$47,"Pass")</f>
        <v/>
      </c>
      <c r="J6" s="19">
        <f>COUNTIFS(Log_Ejecucion!$B$2:$B$47,A6,Log_Ejecucion!$J$2:$J$47,"Fail")</f>
        <v/>
      </c>
      <c r="K6" s="19">
        <f>COUNTIFS(Log_Ejecucion!$B$2:$B$47,A6,Log_Ejecucion!$J$2:$J$47,"Blocked")</f>
        <v/>
      </c>
      <c r="L6" s="19">
        <f>COUNTIFS(Log_Ejecucion!$B$2:$B$47,A6,Log_Ejecucion!$J$2:$J$47,"Pendiente")</f>
        <v/>
      </c>
      <c r="M6" s="19">
        <f>IF(L6=H6,"Pendiente",IF(J6&gt;0,"Con fallos",IF(I6=H6,"Aprobado","Parcial")))</f>
        <v/>
      </c>
    </row>
    <row r="7" ht="15" customHeight="1" s="13">
      <c r="A7" s="15" t="inlineStr">
        <is>
          <t>REQ-06</t>
        </is>
      </c>
      <c r="B7" s="15" t="inlineStr">
        <is>
          <t>Crítica</t>
        </is>
      </c>
      <c r="C7" s="15" t="inlineStr">
        <is>
          <t>R-07</t>
        </is>
      </c>
      <c r="D7" s="15" t="inlineStr">
        <is>
          <t>TC-REQ06-001, TC-REQ06-002</t>
        </is>
      </c>
      <c r="E7" s="15" t="inlineStr">
        <is>
          <t>Tabla de Decisión</t>
        </is>
      </c>
      <c r="F7" s="15" t="inlineStr">
        <is>
          <t>Cuentas</t>
        </is>
      </c>
      <c r="G7" s="15" t="inlineStr">
        <is>
          <t>Walter Rosales</t>
        </is>
      </c>
      <c r="H7" s="19">
        <f>COUNTIF(Log_Ejecucion!$B$2:$B$47,A7)</f>
        <v/>
      </c>
      <c r="I7" s="19">
        <f>COUNTIFS(Log_Ejecucion!$B$2:$B$47,A7,Log_Ejecucion!$J$2:$J$47,"Pass")</f>
        <v/>
      </c>
      <c r="J7" s="19">
        <f>COUNTIFS(Log_Ejecucion!$B$2:$B$47,A7,Log_Ejecucion!$J$2:$J$47,"Fail")</f>
        <v/>
      </c>
      <c r="K7" s="19">
        <f>COUNTIFS(Log_Ejecucion!$B$2:$B$47,A7,Log_Ejecucion!$J$2:$J$47,"Blocked")</f>
        <v/>
      </c>
      <c r="L7" s="19">
        <f>COUNTIFS(Log_Ejecucion!$B$2:$B$47,A7,Log_Ejecucion!$J$2:$J$47,"Pendiente")</f>
        <v/>
      </c>
      <c r="M7" s="19">
        <f>IF(L7=H7,"Pendiente",IF(J7&gt;0,"Con fallos",IF(I7=H7,"Aprobado","Parcial")))</f>
        <v/>
      </c>
    </row>
    <row r="8" ht="26.25" customHeight="1" s="13">
      <c r="A8" s="15" t="inlineStr">
        <is>
          <t>REQ-07</t>
        </is>
      </c>
      <c r="B8" s="15" t="inlineStr">
        <is>
          <t>Alta</t>
        </is>
      </c>
      <c r="C8" s="15" t="inlineStr">
        <is>
          <t>R-03</t>
        </is>
      </c>
      <c r="D8" s="15" t="inlineStr">
        <is>
          <t>TC-REQ07-001, TC-REQ07-002, TC-REQ07-003</t>
        </is>
      </c>
      <c r="E8" s="15" t="inlineStr">
        <is>
          <t>Análisis de Valores Límite; Transición de Estados</t>
        </is>
      </c>
      <c r="F8" s="15" t="inlineStr">
        <is>
          <t>Cuentas</t>
        </is>
      </c>
      <c r="G8" s="15" t="inlineStr">
        <is>
          <t>Walter Rosales</t>
        </is>
      </c>
      <c r="H8" s="19">
        <f>COUNTIF(Log_Ejecucion!$B$2:$B$47,A8)</f>
        <v/>
      </c>
      <c r="I8" s="19">
        <f>COUNTIFS(Log_Ejecucion!$B$2:$B$47,A8,Log_Ejecucion!$J$2:$J$47,"Pass")</f>
        <v/>
      </c>
      <c r="J8" s="19">
        <f>COUNTIFS(Log_Ejecucion!$B$2:$B$47,A8,Log_Ejecucion!$J$2:$J$47,"Fail")</f>
        <v/>
      </c>
      <c r="K8" s="19">
        <f>COUNTIFS(Log_Ejecucion!$B$2:$B$47,A8,Log_Ejecucion!$J$2:$J$47,"Blocked")</f>
        <v/>
      </c>
      <c r="L8" s="19">
        <f>COUNTIFS(Log_Ejecucion!$B$2:$B$47,A8,Log_Ejecucion!$J$2:$J$47,"Pendiente")</f>
        <v/>
      </c>
      <c r="M8" s="19">
        <f>IF(L8=H8,"Pendiente",IF(J8&gt;0,"Con fallos",IF(I8=H8,"Aprobado","Parcial")))</f>
        <v/>
      </c>
    </row>
    <row r="9" ht="26.25" customHeight="1" s="13">
      <c r="A9" s="15" t="inlineStr">
        <is>
          <t>REQ-08</t>
        </is>
      </c>
      <c r="B9" s="15" t="inlineStr">
        <is>
          <t>Crítica</t>
        </is>
      </c>
      <c r="C9" s="15" t="inlineStr">
        <is>
          <t>R-08</t>
        </is>
      </c>
      <c r="D9" s="15" t="inlineStr">
        <is>
          <t>TC-REQ08-001, TC-REQ08-002, TC-REQ08-003</t>
        </is>
      </c>
      <c r="E9" s="15" t="inlineStr">
        <is>
          <t>Análisis de Valores Límite; Partición de Equivalencia; Tabla de Decisión</t>
        </is>
      </c>
      <c r="F9" s="15" t="inlineStr">
        <is>
          <t>Caja</t>
        </is>
      </c>
      <c r="G9" s="15" t="inlineStr">
        <is>
          <t>Sergio Och</t>
        </is>
      </c>
      <c r="H9" s="19">
        <f>COUNTIF(Log_Ejecucion!$B$2:$B$47,A9)</f>
        <v/>
      </c>
      <c r="I9" s="19">
        <f>COUNTIFS(Log_Ejecucion!$B$2:$B$47,A9,Log_Ejecucion!$J$2:$J$47,"Pass")</f>
        <v/>
      </c>
      <c r="J9" s="19">
        <f>COUNTIFS(Log_Ejecucion!$B$2:$B$47,A9,Log_Ejecucion!$J$2:$J$47,"Fail")</f>
        <v/>
      </c>
      <c r="K9" s="19">
        <f>COUNTIFS(Log_Ejecucion!$B$2:$B$47,A9,Log_Ejecucion!$J$2:$J$47,"Blocked")</f>
        <v/>
      </c>
      <c r="L9" s="19">
        <f>COUNTIFS(Log_Ejecucion!$B$2:$B$47,A9,Log_Ejecucion!$J$2:$J$47,"Pendiente")</f>
        <v/>
      </c>
      <c r="M9" s="19">
        <f>IF(L9=H9,"Pendiente",IF(J9&gt;0,"Con fallos",IF(I9=H9,"Aprobado","Parcial")))</f>
        <v/>
      </c>
    </row>
    <row r="10" ht="26.25" customHeight="1" s="13">
      <c r="A10" s="15" t="inlineStr">
        <is>
          <t>REQ-09</t>
        </is>
      </c>
      <c r="B10" s="15" t="inlineStr">
        <is>
          <t>Crítica</t>
        </is>
      </c>
      <c r="C10" s="15" t="inlineStr">
        <is>
          <t>R-03</t>
        </is>
      </c>
      <c r="D10" s="15" t="inlineStr">
        <is>
          <t>TC-REQ09-001, TC-REQ09-002, TC-REQ09-003</t>
        </is>
      </c>
      <c r="E10" s="15" t="inlineStr">
        <is>
          <t>Análisis de Valores Límite; Partición de Equivalencia; Tabla de Decisión</t>
        </is>
      </c>
      <c r="F10" s="15" t="inlineStr">
        <is>
          <t>Transacciones</t>
        </is>
      </c>
      <c r="G10" s="15" t="inlineStr">
        <is>
          <t>Sergio Och</t>
        </is>
      </c>
      <c r="H10" s="19">
        <f>COUNTIF(Log_Ejecucion!$B$2:$B$47,A10)</f>
        <v/>
      </c>
      <c r="I10" s="19">
        <f>COUNTIFS(Log_Ejecucion!$B$2:$B$47,A10,Log_Ejecucion!$J$2:$J$47,"Pass")</f>
        <v/>
      </c>
      <c r="J10" s="19">
        <f>COUNTIFS(Log_Ejecucion!$B$2:$B$47,A10,Log_Ejecucion!$J$2:$J$47,"Fail")</f>
        <v/>
      </c>
      <c r="K10" s="19">
        <f>COUNTIFS(Log_Ejecucion!$B$2:$B$47,A10,Log_Ejecucion!$J$2:$J$47,"Blocked")</f>
        <v/>
      </c>
      <c r="L10" s="19">
        <f>COUNTIFS(Log_Ejecucion!$B$2:$B$47,A10,Log_Ejecucion!$J$2:$J$47,"Pendiente")</f>
        <v/>
      </c>
      <c r="M10" s="19">
        <f>IF(L10=H10,"Pendiente",IF(J10&gt;0,"Con fallos",IF(I10=H10,"Aprobado","Parcial")))</f>
        <v/>
      </c>
    </row>
    <row r="11" ht="26.25" customHeight="1" s="13">
      <c r="A11" s="15" t="inlineStr">
        <is>
          <t>REQ-10</t>
        </is>
      </c>
      <c r="B11" s="15" t="inlineStr">
        <is>
          <t>Crítica</t>
        </is>
      </c>
      <c r="C11" s="15" t="inlineStr">
        <is>
          <t>R-03 / R-05</t>
        </is>
      </c>
      <c r="D11" s="15" t="inlineStr">
        <is>
          <t>TC-REQ10-001, TC-REQ10-002, TC-REQ10-003</t>
        </is>
      </c>
      <c r="E11" s="15" t="inlineStr">
        <is>
          <t>Análisis de Valores Límite; Partición de Equivalencia</t>
        </is>
      </c>
      <c r="F11" s="15" t="inlineStr">
        <is>
          <t>Transacciones</t>
        </is>
      </c>
      <c r="G11" s="15" t="inlineStr">
        <is>
          <t>Sergio Och</t>
        </is>
      </c>
      <c r="H11" s="19">
        <f>COUNTIF(Log_Ejecucion!$B$2:$B$47,A11)</f>
        <v/>
      </c>
      <c r="I11" s="19">
        <f>COUNTIFS(Log_Ejecucion!$B$2:$B$47,A11,Log_Ejecucion!$J$2:$J$47,"Pass")</f>
        <v/>
      </c>
      <c r="J11" s="19">
        <f>COUNTIFS(Log_Ejecucion!$B$2:$B$47,A11,Log_Ejecucion!$J$2:$J$47,"Fail")</f>
        <v/>
      </c>
      <c r="K11" s="19">
        <f>COUNTIFS(Log_Ejecucion!$B$2:$B$47,A11,Log_Ejecucion!$J$2:$J$47,"Blocked")</f>
        <v/>
      </c>
      <c r="L11" s="19">
        <f>COUNTIFS(Log_Ejecucion!$B$2:$B$47,A11,Log_Ejecucion!$J$2:$J$47,"Pendiente")</f>
        <v/>
      </c>
      <c r="M11" s="19">
        <f>IF(L11=H11,"Pendiente",IF(J11&gt;0,"Con fallos",IF(I11=H11,"Aprobado","Parcial")))</f>
        <v/>
      </c>
    </row>
    <row r="12" ht="26.25" customHeight="1" s="13">
      <c r="A12" s="15" t="inlineStr">
        <is>
          <t>REQ-11</t>
        </is>
      </c>
      <c r="B12" s="15" t="inlineStr">
        <is>
          <t>Crítica</t>
        </is>
      </c>
      <c r="C12" s="15" t="inlineStr">
        <is>
          <t>R-04 / R-05</t>
        </is>
      </c>
      <c r="D12" s="15" t="inlineStr">
        <is>
          <t>TC-REQ11-001, TC-REQ11-002, TC-REQ11-003</t>
        </is>
      </c>
      <c r="E12" s="15" t="inlineStr">
        <is>
          <t>Partición de Equivalencia; Tabla de Decisión</t>
        </is>
      </c>
      <c r="F12" s="15" t="inlineStr">
        <is>
          <t>Transacciones</t>
        </is>
      </c>
      <c r="G12" s="15" t="inlineStr">
        <is>
          <t>Sergio Och</t>
        </is>
      </c>
      <c r="H12" s="19">
        <f>COUNTIF(Log_Ejecucion!$B$2:$B$47,A12)</f>
        <v/>
      </c>
      <c r="I12" s="19">
        <f>COUNTIFS(Log_Ejecucion!$B$2:$B$47,A12,Log_Ejecucion!$J$2:$J$47,"Pass")</f>
        <v/>
      </c>
      <c r="J12" s="19">
        <f>COUNTIFS(Log_Ejecucion!$B$2:$B$47,A12,Log_Ejecucion!$J$2:$J$47,"Fail")</f>
        <v/>
      </c>
      <c r="K12" s="19">
        <f>COUNTIFS(Log_Ejecucion!$B$2:$B$47,A12,Log_Ejecucion!$J$2:$J$47,"Blocked")</f>
        <v/>
      </c>
      <c r="L12" s="19">
        <f>COUNTIFS(Log_Ejecucion!$B$2:$B$47,A12,Log_Ejecucion!$J$2:$J$47,"Pendiente")</f>
        <v/>
      </c>
      <c r="M12" s="19">
        <f>IF(L12=H12,"Pendiente",IF(J12&gt;0,"Con fallos",IF(I12=H12,"Aprobado","Parcial")))</f>
        <v/>
      </c>
    </row>
    <row r="13" ht="26.25" customHeight="1" s="13">
      <c r="A13" s="15" t="inlineStr">
        <is>
          <t>REQ-12</t>
        </is>
      </c>
      <c r="B13" s="15" t="inlineStr">
        <is>
          <t>Crítica</t>
        </is>
      </c>
      <c r="C13" s="15" t="inlineStr">
        <is>
          <t>R-06 / R-05</t>
        </is>
      </c>
      <c r="D13" s="15" t="inlineStr">
        <is>
          <t>TC-REQ12-001, TC-REQ12-002, TC-REQ12-003</t>
        </is>
      </c>
      <c r="E13" s="15" t="inlineStr">
        <is>
          <t>Análisis de Valores Límite; Pairwise; Partición de Equivalencia</t>
        </is>
      </c>
      <c r="F13" s="15" t="inlineStr">
        <is>
          <t>Portal del cliente</t>
        </is>
      </c>
      <c r="G13" s="15" t="inlineStr">
        <is>
          <t>Walter Rosales</t>
        </is>
      </c>
      <c r="H13" s="19">
        <f>COUNTIF(Log_Ejecucion!$B$2:$B$47,A13)</f>
        <v/>
      </c>
      <c r="I13" s="19">
        <f>COUNTIFS(Log_Ejecucion!$B$2:$B$47,A13,Log_Ejecucion!$J$2:$J$47,"Pass")</f>
        <v/>
      </c>
      <c r="J13" s="19">
        <f>COUNTIFS(Log_Ejecucion!$B$2:$B$47,A13,Log_Ejecucion!$J$2:$J$47,"Fail")</f>
        <v/>
      </c>
      <c r="K13" s="19">
        <f>COUNTIFS(Log_Ejecucion!$B$2:$B$47,A13,Log_Ejecucion!$J$2:$J$47,"Blocked")</f>
        <v/>
      </c>
      <c r="L13" s="19">
        <f>COUNTIFS(Log_Ejecucion!$B$2:$B$47,A13,Log_Ejecucion!$J$2:$J$47,"Pendiente")</f>
        <v/>
      </c>
      <c r="M13" s="19">
        <f>IF(L13=H13,"Pendiente",IF(J13&gt;0,"Con fallos",IF(I13=H13,"Aprobado","Parcial")))</f>
        <v/>
      </c>
    </row>
    <row r="14" ht="26.25" customHeight="1" s="13">
      <c r="A14" s="15" t="inlineStr">
        <is>
          <t>REQ-13</t>
        </is>
      </c>
      <c r="B14" s="15" t="inlineStr">
        <is>
          <t>Alta</t>
        </is>
      </c>
      <c r="C14" s="15" t="inlineStr">
        <is>
          <t>R-11</t>
        </is>
      </c>
      <c r="D14" s="15" t="inlineStr">
        <is>
          <t>TC-REQ13-001, TC-REQ13-002</t>
        </is>
      </c>
      <c r="E14" s="15" t="inlineStr">
        <is>
          <t>Partición de Equivalencia; Transición de Estados</t>
        </is>
      </c>
      <c r="F14" s="15" t="inlineStr">
        <is>
          <t>ACH</t>
        </is>
      </c>
      <c r="G14" s="15" t="inlineStr">
        <is>
          <t>Anderson Ariana</t>
        </is>
      </c>
      <c r="H14" s="19">
        <f>COUNTIF(Log_Ejecucion!$B$2:$B$47,A14)</f>
        <v/>
      </c>
      <c r="I14" s="19">
        <f>COUNTIFS(Log_Ejecucion!$B$2:$B$47,A14,Log_Ejecucion!$J$2:$J$47,"Pass")</f>
        <v/>
      </c>
      <c r="J14" s="19">
        <f>COUNTIFS(Log_Ejecucion!$B$2:$B$47,A14,Log_Ejecucion!$J$2:$J$47,"Fail")</f>
        <v/>
      </c>
      <c r="K14" s="19">
        <f>COUNTIFS(Log_Ejecucion!$B$2:$B$47,A14,Log_Ejecucion!$J$2:$J$47,"Blocked")</f>
        <v/>
      </c>
      <c r="L14" s="19">
        <f>COUNTIFS(Log_Ejecucion!$B$2:$B$47,A14,Log_Ejecucion!$J$2:$J$47,"Pendiente")</f>
        <v/>
      </c>
      <c r="M14" s="19">
        <f>IF(L14=H14,"Pendiente",IF(J14&gt;0,"Con fallos",IF(I14=H14,"Aprobado","Parcial")))</f>
        <v/>
      </c>
    </row>
    <row r="15" ht="26.25" customHeight="1" s="13">
      <c r="A15" s="15" t="inlineStr">
        <is>
          <t>REQ-14</t>
        </is>
      </c>
      <c r="B15" s="15" t="inlineStr">
        <is>
          <t>Crítica</t>
        </is>
      </c>
      <c r="C15" s="15" t="inlineStr">
        <is>
          <t>R-04 / R-11</t>
        </is>
      </c>
      <c r="D15" s="15" t="inlineStr">
        <is>
          <t>TC-REQ14-001, TC-REQ14-002, TC-REQ14-003</t>
        </is>
      </c>
      <c r="E15" s="15" t="inlineStr">
        <is>
          <t>Análisis de Valores Límite; Tabla de Decisión; Transición de Estados</t>
        </is>
      </c>
      <c r="F15" s="15" t="inlineStr">
        <is>
          <t>ACH</t>
        </is>
      </c>
      <c r="G15" s="15" t="inlineStr">
        <is>
          <t>Anderson Ariana</t>
        </is>
      </c>
      <c r="H15" s="19">
        <f>COUNTIF(Log_Ejecucion!$B$2:$B$47,A15)</f>
        <v/>
      </c>
      <c r="I15" s="19">
        <f>COUNTIFS(Log_Ejecucion!$B$2:$B$47,A15,Log_Ejecucion!$J$2:$J$47,"Pass")</f>
        <v/>
      </c>
      <c r="J15" s="19">
        <f>COUNTIFS(Log_Ejecucion!$B$2:$B$47,A15,Log_Ejecucion!$J$2:$J$47,"Fail")</f>
        <v/>
      </c>
      <c r="K15" s="19">
        <f>COUNTIFS(Log_Ejecucion!$B$2:$B$47,A15,Log_Ejecucion!$J$2:$J$47,"Blocked")</f>
        <v/>
      </c>
      <c r="L15" s="19">
        <f>COUNTIFS(Log_Ejecucion!$B$2:$B$47,A15,Log_Ejecucion!$J$2:$J$47,"Pendiente")</f>
        <v/>
      </c>
      <c r="M15" s="19">
        <f>IF(L15=H15,"Pendiente",IF(J15&gt;0,"Con fallos",IF(I15=H15,"Aprobado","Parcial")))</f>
        <v/>
      </c>
    </row>
    <row r="16" ht="26.25" customHeight="1" s="13">
      <c r="A16" s="15" t="inlineStr">
        <is>
          <t>REQ-15</t>
        </is>
      </c>
      <c r="B16" s="15" t="inlineStr">
        <is>
          <t>Alta</t>
        </is>
      </c>
      <c r="C16" s="15" t="inlineStr">
        <is>
          <t>R-10</t>
        </is>
      </c>
      <c r="D16" s="15" t="inlineStr">
        <is>
          <t>TC-REQ15-001, TC-REQ15-002</t>
        </is>
      </c>
      <c r="E16" s="15" t="inlineStr">
        <is>
          <t>Partición de Equivalencia; Transición de Estados</t>
        </is>
      </c>
      <c r="F16" s="15" t="inlineStr">
        <is>
          <t>Auditoría y reportes</t>
        </is>
      </c>
      <c r="G16" s="15" t="inlineStr">
        <is>
          <t>Luis Contreras</t>
        </is>
      </c>
      <c r="H16" s="19">
        <f>COUNTIF(Log_Ejecucion!$B$2:$B$47,A16)</f>
        <v/>
      </c>
      <c r="I16" s="19">
        <f>COUNTIFS(Log_Ejecucion!$B$2:$B$47,A16,Log_Ejecucion!$J$2:$J$47,"Pass")</f>
        <v/>
      </c>
      <c r="J16" s="19">
        <f>COUNTIFS(Log_Ejecucion!$B$2:$B$47,A16,Log_Ejecucion!$J$2:$J$47,"Fail")</f>
        <v/>
      </c>
      <c r="K16" s="19">
        <f>COUNTIFS(Log_Ejecucion!$B$2:$B$47,A16,Log_Ejecucion!$J$2:$J$47,"Blocked")</f>
        <v/>
      </c>
      <c r="L16" s="19">
        <f>COUNTIFS(Log_Ejecucion!$B$2:$B$47,A16,Log_Ejecucion!$J$2:$J$47,"Pendiente")</f>
        <v/>
      </c>
      <c r="M16" s="19">
        <f>IF(L16=H16,"Pendiente",IF(J16&gt;0,"Con fallos",IF(I16=H16,"Aprobado","Parcial")))</f>
        <v/>
      </c>
    </row>
    <row r="17" ht="15" customHeight="1" s="13">
      <c r="A17" s="15" t="inlineStr">
        <is>
          <t>REQ-16</t>
        </is>
      </c>
      <c r="B17" s="15" t="inlineStr">
        <is>
          <t>Alta</t>
        </is>
      </c>
      <c r="C17" s="15" t="inlineStr">
        <is>
          <t>R-03 / R-01</t>
        </is>
      </c>
      <c r="D17" s="15" t="inlineStr">
        <is>
          <t>TC-REQ16-001, TC-REQ16-002</t>
        </is>
      </c>
      <c r="E17" s="15" t="inlineStr">
        <is>
          <t>Pairwise; Partición de Equivalencia</t>
        </is>
      </c>
      <c r="F17" s="15" t="inlineStr">
        <is>
          <t>Auditoría y reportes</t>
        </is>
      </c>
      <c r="G17" s="15" t="inlineStr">
        <is>
          <t>Luis Contreras</t>
        </is>
      </c>
      <c r="H17" s="19">
        <f>COUNTIF(Log_Ejecucion!$B$2:$B$47,A17)</f>
        <v/>
      </c>
      <c r="I17" s="19">
        <f>COUNTIFS(Log_Ejecucion!$B$2:$B$47,A17,Log_Ejecucion!$J$2:$J$47,"Pass")</f>
        <v/>
      </c>
      <c r="J17" s="19">
        <f>COUNTIFS(Log_Ejecucion!$B$2:$B$47,A17,Log_Ejecucion!$J$2:$J$47,"Fail")</f>
        <v/>
      </c>
      <c r="K17" s="19">
        <f>COUNTIFS(Log_Ejecucion!$B$2:$B$47,A17,Log_Ejecucion!$J$2:$J$47,"Blocked")</f>
        <v/>
      </c>
      <c r="L17" s="19">
        <f>COUNTIFS(Log_Ejecucion!$B$2:$B$47,A17,Log_Ejecucion!$J$2:$J$47,"Pendiente")</f>
        <v/>
      </c>
      <c r="M17" s="19">
        <f>IF(L17=H17,"Pendiente",IF(J17&gt;0,"Con fallos",IF(I17=H17,"Aprobado","Parcial")))</f>
        <v/>
      </c>
    </row>
    <row r="18" ht="26.25" customHeight="1" s="13">
      <c r="A18" s="15" t="inlineStr">
        <is>
          <t>REQ-17</t>
        </is>
      </c>
      <c r="B18" s="15" t="inlineStr">
        <is>
          <t>Crítica</t>
        </is>
      </c>
      <c r="C18" s="15" t="inlineStr">
        <is>
          <t>R-01 / R-11</t>
        </is>
      </c>
      <c r="D18" s="15" t="inlineStr">
        <is>
          <t>TC-REQ17-001, TC-REQ17-002, TC-REQ17-003</t>
        </is>
      </c>
      <c r="E18" s="15" t="inlineStr">
        <is>
          <t>Pairwise; Partición de Equivalencia; Transición de Estados</t>
        </is>
      </c>
      <c r="F18" s="15" t="inlineStr">
        <is>
          <t>ACH</t>
        </is>
      </c>
      <c r="G18" s="15" t="inlineStr">
        <is>
          <t>Anderson Ariana</t>
        </is>
      </c>
      <c r="H18" s="19">
        <f>COUNTIF(Log_Ejecucion!$B$2:$B$47,A18)</f>
        <v/>
      </c>
      <c r="I18" s="19">
        <f>COUNTIFS(Log_Ejecucion!$B$2:$B$47,A18,Log_Ejecucion!$J$2:$J$47,"Pass")</f>
        <v/>
      </c>
      <c r="J18" s="19">
        <f>COUNTIFS(Log_Ejecucion!$B$2:$B$47,A18,Log_Ejecucion!$J$2:$J$47,"Fail")</f>
        <v/>
      </c>
      <c r="K18" s="19">
        <f>COUNTIFS(Log_Ejecucion!$B$2:$B$47,A18,Log_Ejecucion!$J$2:$J$47,"Blocked")</f>
        <v/>
      </c>
      <c r="L18" s="19">
        <f>COUNTIFS(Log_Ejecucion!$B$2:$B$47,A18,Log_Ejecucion!$J$2:$J$47,"Pendiente")</f>
        <v/>
      </c>
      <c r="M18" s="19">
        <f>IF(L18=H18,"Pendiente",IF(J18&gt;0,"Con fallos",IF(I18=H18,"Aprobado","Parcial")))</f>
        <v/>
      </c>
    </row>
    <row r="19" ht="26.25" customHeight="1" s="13">
      <c r="A19" s="15" t="inlineStr">
        <is>
          <t>REQ-18</t>
        </is>
      </c>
      <c r="B19" s="15" t="inlineStr">
        <is>
          <t>Alta</t>
        </is>
      </c>
      <c r="C19" s="15" t="inlineStr">
        <is>
          <t>R-07 / R-12</t>
        </is>
      </c>
      <c r="D19" s="15" t="inlineStr">
        <is>
          <t>TC-REQ18-001, TC-REQ18-002</t>
        </is>
      </c>
      <c r="E19" s="15" t="inlineStr">
        <is>
          <t>Tabla de Decisión</t>
        </is>
      </c>
      <c r="F19" s="15" t="inlineStr">
        <is>
          <t>Dependencias de datos</t>
        </is>
      </c>
      <c r="G19" s="15" t="inlineStr">
        <is>
          <t>Sergio Och</t>
        </is>
      </c>
      <c r="H19" s="19">
        <f>COUNTIF(Log_Ejecucion!$B$2:$B$47,A19)</f>
        <v/>
      </c>
      <c r="I19" s="19">
        <f>COUNTIFS(Log_Ejecucion!$B$2:$B$47,A19,Log_Ejecucion!$J$2:$J$47,"Pass")</f>
        <v/>
      </c>
      <c r="J19" s="19">
        <f>COUNTIFS(Log_Ejecucion!$B$2:$B$47,A19,Log_Ejecucion!$J$2:$J$47,"Fail")</f>
        <v/>
      </c>
      <c r="K19" s="19">
        <f>COUNTIFS(Log_Ejecucion!$B$2:$B$47,A19,Log_Ejecucion!$J$2:$J$47,"Blocked")</f>
        <v/>
      </c>
      <c r="L19" s="19">
        <f>COUNTIFS(Log_Ejecucion!$B$2:$B$47,A19,Log_Ejecucion!$J$2:$J$47,"Pendiente")</f>
        <v/>
      </c>
      <c r="M19" s="19">
        <f>IF(L19=H19,"Pendiente",IF(J19&gt;0,"Con fallos",IF(I19=H19,"Aprobado","Parcial")))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12" min="1" max="1"/>
    <col width="9" customWidth="1" style="12" min="2" max="2"/>
    <col width="34" customWidth="1" style="12" min="3" max="3"/>
    <col width="20" customWidth="1" style="12" min="4" max="4"/>
    <col width="6" customWidth="1" style="12" min="5" max="5"/>
    <col width="20" customWidth="1" style="12" min="6" max="6"/>
    <col width="14" customWidth="1" style="12" min="7" max="7"/>
    <col width="60" customWidth="1" style="12" min="8" max="8"/>
    <col width="50" customWidth="1" style="12" min="9" max="9"/>
    <col width="14" customWidth="1" style="12" min="10" max="10"/>
    <col width="16" customWidth="1" style="12" min="11" max="11"/>
    <col width="30" customWidth="1" style="12" min="12" max="12"/>
    <col width="16" customWidth="1" style="12" min="13" max="13"/>
  </cols>
  <sheetData>
    <row r="1" ht="26.25" customHeight="1" s="13">
      <c r="A1" s="18" t="inlineStr">
        <is>
          <t>ID_Caso</t>
        </is>
      </c>
      <c r="B1" s="18" t="inlineStr">
        <is>
          <t>ID_REQ</t>
        </is>
      </c>
      <c r="C1" s="18" t="inlineStr">
        <is>
          <t>Nombre_del_Caso</t>
        </is>
      </c>
      <c r="D1" s="18" t="inlineStr">
        <is>
          <t>Modulo</t>
        </is>
      </c>
      <c r="E1" s="18" t="inlineStr">
        <is>
          <t>P1</t>
        </is>
      </c>
      <c r="F1" s="18" t="inlineStr">
        <is>
          <t>Especialista_QA_Ejecutor</t>
        </is>
      </c>
      <c r="G1" s="18" t="inlineStr">
        <is>
          <t>Fecha_Ejecucion</t>
        </is>
      </c>
      <c r="H1" s="18" t="inlineStr">
        <is>
          <t>Resultado_Esperado</t>
        </is>
      </c>
      <c r="I1" s="18" t="inlineStr">
        <is>
          <t>Resultado_Obtenido</t>
        </is>
      </c>
      <c r="J1" s="18" t="inlineStr">
        <is>
          <t>Estado_Ejecucion</t>
        </is>
      </c>
      <c r="K1" s="18" t="inlineStr">
        <is>
          <t>ID_Defecto_Asociado</t>
        </is>
      </c>
      <c r="L1" s="18" t="inlineStr">
        <is>
          <t>Evidencia</t>
        </is>
      </c>
      <c r="M1" s="18" t="inlineStr">
        <is>
          <t>Categoria_Criterio</t>
        </is>
      </c>
    </row>
    <row r="2" ht="26.25" customHeight="1" s="13">
      <c r="A2" s="15" t="inlineStr">
        <is>
          <t>TC-REQ01-001</t>
        </is>
      </c>
      <c r="B2" s="15" t="inlineStr">
        <is>
          <t>REQ-01</t>
        </is>
      </c>
      <c r="C2" s="15" t="inlineStr">
        <is>
          <t>Login válido con usuario activo</t>
        </is>
      </c>
      <c r="D2" s="15" t="inlineStr">
        <is>
          <t>Seguridad y sesiones</t>
        </is>
      </c>
      <c r="E2" s="15" t="inlineStr">
        <is>
          <t>Sí</t>
        </is>
      </c>
      <c r="F2" s="15" t="inlineStr">
        <is>
          <t>Anderson Ariana</t>
        </is>
      </c>
      <c r="G2" s="20" t="n">
        <v>46317</v>
      </c>
      <c r="H2" s="15" t="inlineStr">
        <is>
          <t>HTTP 200. Devuelve token, refreshToken, roles y permisos; registra evento LOGIN exitoso y reinicia intentos fallidos.</t>
        </is>
      </c>
      <c r="I2" s="21" t="inlineStr">
        <is>
          <t>Ciclo 2 (22/10/2026, build corregida): 1 peticiones, 2 aserciones sin fallo; HTTP 200. Mismo comportamiento que en el ciclo 1: HTTP 200: token, refreshToken, rol ADMINISTRADOR, roles y permisos en la respuesta; ultimoLogin actualizado.</t>
        </is>
      </c>
      <c r="J2" s="21" t="inlineStr">
        <is>
          <t>Pass</t>
        </is>
      </c>
      <c r="K2" s="21" t="inlineStr">
        <is>
          <t>N/A</t>
        </is>
      </c>
      <c r="L2" s="21" t="inlineStr">
        <is>
          <t>Re_Prueba_Cierre_E3/04_Regresion_Completa/Anderson/TC-REQ01-001.json; Re_Prueba_Cierre_E3/05_Verificaciones_SQL/TC-REQ01-001.txt · Ciclo 1: Resultados_Newman/Anderson/TC-REQ01-001.json</t>
        </is>
      </c>
      <c r="M2" s="15" t="inlineStr">
        <is>
          <t>—</t>
        </is>
      </c>
    </row>
    <row r="3" ht="39" customHeight="1" s="13">
      <c r="A3" s="15" t="inlineStr">
        <is>
          <t>TC-REQ01-002</t>
        </is>
      </c>
      <c r="B3" s="15" t="inlineStr">
        <is>
          <t>REQ-01</t>
        </is>
      </c>
      <c r="C3" s="15" t="inlineStr">
        <is>
          <t>Bloqueo en frontera de intentos fallidos</t>
        </is>
      </c>
      <c r="D3" s="15" t="inlineStr">
        <is>
          <t>Seguridad y sesiones</t>
        </is>
      </c>
      <c r="E3" s="15" t="inlineStr">
        <is>
          <t>Sí</t>
        </is>
      </c>
      <c r="F3" s="15" t="inlineStr">
        <is>
          <t>Anderson Ariana</t>
        </is>
      </c>
      <c r="G3" s="20" t="n">
        <v>46317</v>
      </c>
      <c r="H3" s="15" t="inlineStr">
        <is>
          <t>Intentos 1-4: HTTP 401 e indica 'Intento X de 5'. Intento 5: HTTP 401 y usuario queda bloqueado; sesiones se revocan. Intento posterior: HTTP 423 mientras el bloqueo siga vigente.</t>
        </is>
      </c>
      <c r="I3" s="21" t="inlineStr">
        <is>
          <t>Ciclo 2 (22/10/2026, build corregida): 6 peticiones, 10 aserciones sin fallo; HTTP 401, 401, 401, 401, 401, 423. Mismo comportamiento que en el ciclo 1: Intentos 1-4: HTTP 401 'Credenciales incorrectas. Intento X de 5.'; intento 5: HTTP 401 y qa_bloqueo queda bloqueado=true, intentos=5, bloqueado_hasta +30 min; 6.º intento con clave correcta: HTTP 423 'El usuario se encuentra bloqueado...'. Eventos LOGIN_FALLIDO ×5 y USUARIO_BLOQUEADO en BD.</t>
        </is>
      </c>
      <c r="J3" s="21" t="inlineStr">
        <is>
          <t>Pass</t>
        </is>
      </c>
      <c r="K3" s="21" t="inlineStr">
        <is>
          <t>N/A</t>
        </is>
      </c>
      <c r="L3" s="21" t="inlineStr">
        <is>
          <t>Re_Prueba_Cierre_E3/04_Regresion_Completa/Anderson/TC-REQ01-002.json; Re_Prueba_Cierre_E3/05_Verificaciones_SQL/TC-REQ01-002.txt · Ciclo 1: Resultados_Newman/Anderson/TC-REQ01-002.json; Logs_Consola_Servidor/Verificaciones_SQL/TC-REQ01-002.txt</t>
        </is>
      </c>
      <c r="M3" s="15" t="inlineStr">
        <is>
          <t>—</t>
        </is>
      </c>
    </row>
    <row r="4" ht="39" customHeight="1" s="13">
      <c r="A4" s="15" t="inlineStr">
        <is>
          <t>TC-REQ01-003</t>
        </is>
      </c>
      <c r="B4" s="15" t="inlineStr">
        <is>
          <t>REQ-01</t>
        </is>
      </c>
      <c r="C4" s="15" t="inlineStr">
        <is>
          <t>Rechazo de usuario inactivo o bloqueado</t>
        </is>
      </c>
      <c r="D4" s="15" t="inlineStr">
        <is>
          <t>Seguridad y sesiones</t>
        </is>
      </c>
      <c r="E4" s="15" t="inlineStr">
        <is>
          <t>Sí</t>
        </is>
      </c>
      <c r="F4" s="15" t="inlineStr">
        <is>
          <t>Anderson Ariana</t>
        </is>
      </c>
      <c r="G4" s="20" t="n">
        <v>46317</v>
      </c>
      <c r="H4" s="15" t="inlineStr">
        <is>
          <t>Inactivo: HTTP 403, 'El usuario se encuentra inactivo...'. Bloqueado: HTTP 423, 'El usuario se encuentra bloqueado...'. No se entrega token.</t>
        </is>
      </c>
      <c r="I4" s="21" t="inlineStr">
        <is>
          <t>Ciclo 2 (22/10/2026, build corregida): 2 peticiones, 6 aserciones sin fallo; HTTP 403, 423. Mismo comportamiento que en el ciclo 1: qa_inactivo: HTTP 403 'El usuario se encuentra inactivo. Por favor comuniquese con soporte.'; qa_bloqueado: HTTP 423 'El usuario se encuentra bloqueado...'. Sin token en ninguna respuesta.</t>
        </is>
      </c>
      <c r="J4" s="21" t="inlineStr">
        <is>
          <t>Pass</t>
        </is>
      </c>
      <c r="K4" s="21" t="inlineStr">
        <is>
          <t>N/A</t>
        </is>
      </c>
      <c r="L4" s="21" t="inlineStr">
        <is>
          <t>Re_Prueba_Cierre_E3/04_Regresion_Completa/Anderson/TC-REQ01-003.json; Re_Prueba_Cierre_E3/05_Verificaciones_SQL/TC-REQ01-003.txt · Ciclo 1: Resultados_Newman/Anderson/TC-REQ01-003.json</t>
        </is>
      </c>
      <c r="M4" s="15" t="inlineStr">
        <is>
          <t>—</t>
        </is>
      </c>
    </row>
    <row r="5" ht="39" customHeight="1" s="13">
      <c r="A5" s="15" t="inlineStr">
        <is>
          <t>TC-REQ02-001</t>
        </is>
      </c>
      <c r="B5" s="15" t="inlineStr">
        <is>
          <t>REQ-02</t>
        </is>
      </c>
      <c r="C5" s="15" t="inlineStr">
        <is>
          <t>Rotación de refresh token</t>
        </is>
      </c>
      <c r="D5" s="15" t="inlineStr">
        <is>
          <t>Seguridad y sesiones</t>
        </is>
      </c>
      <c r="E5" s="15" t="inlineStr">
        <is>
          <t>Sí</t>
        </is>
      </c>
      <c r="F5" s="15" t="inlineStr">
        <is>
          <t>Anderson Ariana</t>
        </is>
      </c>
      <c r="G5" s="20" t="n">
        <v>46317</v>
      </c>
      <c r="H5" s="15" t="inlineStr">
        <is>
          <t>Primera llamada HTTP 200 y entrega nuevos tokens. El refresh anterior queda rotado; su reutilización debe ser rechazada como inválida/expirada (HTTP 401).</t>
        </is>
      </c>
      <c r="I5" s="21" t="inlineStr">
        <is>
          <t>Ciclo 2 (22/10/2026, build corregida): 3 peticiones, 4 aserciones sin fallo; HTTP 200, 200, 401. Mismo comportamiento que en el ciclo 1: Refresh con refresh_v1: HTTP 200 con tokens nuevos y refresh distinto; reutilizar refresh_v1: HTTP 401 'Refresh token invalido o expirado.'</t>
        </is>
      </c>
      <c r="J5" s="21" t="inlineStr">
        <is>
          <t>Pass</t>
        </is>
      </c>
      <c r="K5" s="21" t="inlineStr">
        <is>
          <t>N/A</t>
        </is>
      </c>
      <c r="L5" s="21" t="inlineStr">
        <is>
          <t>Re_Prueba_Cierre_E3/04_Regresion_Completa/Anderson/TC-REQ02-001.json; Re_Prueba_Cierre_E3/05_Verificaciones_SQL/TC-REQ02-001.txt · Ciclo 1: Resultados_Newman/Anderson/TC-REQ02-001.json; Logs_Consola_Servidor/Verificaciones_SQL/TC-REQ02.txt</t>
        </is>
      </c>
      <c r="M5" s="15" t="inlineStr">
        <is>
          <t>—</t>
        </is>
      </c>
    </row>
    <row r="6" ht="39" customHeight="1" s="13">
      <c r="A6" s="15" t="inlineStr">
        <is>
          <t>TC-REQ02-002</t>
        </is>
      </c>
      <c r="B6" s="15" t="inlineStr">
        <is>
          <t>REQ-02</t>
        </is>
      </c>
      <c r="C6" s="15" t="inlineStr">
        <is>
          <t>Logout revoca la sesión activa</t>
        </is>
      </c>
      <c r="D6" s="15" t="inlineStr">
        <is>
          <t>Seguridad y sesiones</t>
        </is>
      </c>
      <c r="E6" s="15" t="inlineStr">
        <is>
          <t>Sí</t>
        </is>
      </c>
      <c r="F6" s="15" t="inlineStr">
        <is>
          <t>Anderson Ariana</t>
        </is>
      </c>
      <c r="G6" s="20" t="n">
        <v>46317</v>
      </c>
      <c r="H6" s="15" t="inlineStr">
        <is>
          <t>Logout exitoso. La sesión queda revocada; solicitudes posteriores con esa sesión fallan autenticación y el refresh no genera una nueva sesión.</t>
        </is>
      </c>
      <c r="I6" s="21" t="inlineStr">
        <is>
          <t>Ciclo 2 (22/10/2026, build corregida): 4 peticiones, 4 aserciones sin fallo; HTTP 200, 200, 401, 401. Mismo comportamiento que en el ciclo 1: Logout HTTP 200; /api/auth/me con el mismo access token: HTTP 401; refresh de la sesión revocada: HTTP 401. En BD la sesión queda estado=false con fecha_cierre.</t>
        </is>
      </c>
      <c r="J6" s="21" t="inlineStr">
        <is>
          <t>Pass</t>
        </is>
      </c>
      <c r="K6" s="21" t="inlineStr">
        <is>
          <t>N/A</t>
        </is>
      </c>
      <c r="L6" s="21" t="inlineStr">
        <is>
          <t>Re_Prueba_Cierre_E3/04_Regresion_Completa/Anderson/TC-REQ02-002.json; Re_Prueba_Cierre_E3/05_Verificaciones_SQL/TC-REQ02-002.txt · Ciclo 1: Resultados_Newman/Anderson/TC-REQ02-002.json; Logs_Consola_Servidor/Verificaciones_SQL/TC-REQ02.txt</t>
        </is>
      </c>
      <c r="M6" s="15" t="inlineStr">
        <is>
          <t>—</t>
        </is>
      </c>
    </row>
    <row r="7" ht="26.25" customHeight="1" s="13">
      <c r="A7" s="15" t="inlineStr">
        <is>
          <t>TC-REQ03-001</t>
        </is>
      </c>
      <c r="B7" s="15" t="inlineStr">
        <is>
          <t>REQ-03</t>
        </is>
      </c>
      <c r="C7" s="15" t="inlineStr">
        <is>
          <t>Acceso permitido con permiso requerido</t>
        </is>
      </c>
      <c r="D7" s="15" t="inlineStr">
        <is>
          <t>Seguridad y sesiones</t>
        </is>
      </c>
      <c r="E7" s="15" t="inlineStr">
        <is>
          <t>Sí</t>
        </is>
      </c>
      <c r="F7" s="15" t="inlineStr">
        <is>
          <t>Anderson Ariana</t>
        </is>
      </c>
      <c r="G7" s="20" t="n">
        <v>46317</v>
      </c>
      <c r="H7" s="15" t="inlineStr">
        <is>
          <t>HTTP 200 y acceso únicamente al recurso autorizado.</t>
        </is>
      </c>
      <c r="I7" s="21" t="inlineStr">
        <is>
          <t>Ciclo 2 (22/10/2026, build corregida): 1 peticiones, 1 aserciones sin fallo; HTTP 200. Mismo comportamiento que en el ciclo 1: GET /api/clientes con qa_admin: HTTP 200 con el listado de clientes.</t>
        </is>
      </c>
      <c r="J7" s="21" t="inlineStr">
        <is>
          <t>Pass</t>
        </is>
      </c>
      <c r="K7" s="21" t="inlineStr">
        <is>
          <t>N/A</t>
        </is>
      </c>
      <c r="L7" s="21" t="inlineStr">
        <is>
          <t>Re_Prueba_Cierre_E3/04_Regresion_Completa/Anderson/TC-REQ03-001.json; Re_Prueba_Cierre_E3/05_Verificaciones_SQL/TC-REQ03-001.txt · Ciclo 1: Resultados_Newman/Anderson/TC-REQ03-001.json</t>
        </is>
      </c>
      <c r="M7" s="15" t="inlineStr">
        <is>
          <t>Autorización</t>
        </is>
      </c>
    </row>
    <row r="8" ht="26.25" customHeight="1" s="13">
      <c r="A8" s="15" t="inlineStr">
        <is>
          <t>TC-REQ03-002</t>
        </is>
      </c>
      <c r="B8" s="15" t="inlineStr">
        <is>
          <t>REQ-03</t>
        </is>
      </c>
      <c r="C8" s="15" t="inlineStr">
        <is>
          <t>Denegación por rol/permiso insuficiente</t>
        </is>
      </c>
      <c r="D8" s="15" t="inlineStr">
        <is>
          <t>Seguridad y sesiones</t>
        </is>
      </c>
      <c r="E8" s="15" t="inlineStr">
        <is>
          <t>Sí</t>
        </is>
      </c>
      <c r="F8" s="15" t="inlineStr">
        <is>
          <t>Anderson Ariana</t>
        </is>
      </c>
      <c r="G8" s="20" t="n">
        <v>46317</v>
      </c>
      <c r="H8" s="15" t="inlineStr">
        <is>
          <t>HTTP 403/denegación en cada combinación no autorizada; ninguna operación negada modifica datos.</t>
        </is>
      </c>
      <c r="I8" s="21" t="inlineStr">
        <is>
          <t>Ciclo 2 (22/10/2026, build corregida): 5 peticiones, 6 aserciones sin fallo; HTTP 403, 403, 403, 401, 401. Incluye la fila P7-ACH automatizada: GET /api/ach/bancos sin token → HTTP 401 (ciclo 1: HTTP 200, BUG-NEX-01). P2 y el POST con token CLIENTE → 403; P4 → 403; P7 /api/clientes → 401.</t>
        </is>
      </c>
      <c r="J8" s="21" t="inlineStr">
        <is>
          <t>Pass</t>
        </is>
      </c>
      <c r="K8" s="21" t="inlineStr">
        <is>
          <t>BUG-NEX-01 (cerrado 22/10/2026)</t>
        </is>
      </c>
      <c r="L8" s="21" t="inlineStr">
        <is>
          <t>Re_Prueba_Cierre_E3/04_Regresion_Completa/Anderson/TC-REQ03-002.json; Re_Prueba_Cierre_E3/05_Verificaciones_SQL/TC-REQ03-002.txt · Ciclo 1: Resultados_Newman/Anderson/TC-REQ03-002.json; Capturas_Bugs/Evidencia_BUG01_Anderson.png</t>
        </is>
      </c>
      <c r="M8" s="15" t="inlineStr">
        <is>
          <t>Autorización</t>
        </is>
      </c>
    </row>
    <row r="9" ht="26.25" customHeight="1" s="13">
      <c r="A9" s="15" t="inlineStr">
        <is>
          <t>TC-REQ04-001</t>
        </is>
      </c>
      <c r="B9" s="15" t="inlineStr">
        <is>
          <t>REQ-04</t>
        </is>
      </c>
      <c r="C9" s="15" t="inlineStr">
        <is>
          <t>Registro válido en frontera exacta de 18 años</t>
        </is>
      </c>
      <c r="D9" s="15" t="inlineStr">
        <is>
          <t>Clientes</t>
        </is>
      </c>
      <c r="E9" s="15" t="inlineStr">
        <is>
          <t>No</t>
        </is>
      </c>
      <c r="F9" s="15" t="inlineStr">
        <is>
          <t>Walter Rosales</t>
        </is>
      </c>
      <c r="G9" s="20" t="n">
        <v>46317</v>
      </c>
      <c r="H9" s="15" t="inlineStr">
        <is>
          <t>HTTP 201. Cliente creado y estado inicial EN_REVISION; no se rechaza por edad al cumplir exactamente 18.</t>
        </is>
      </c>
      <c r="I9" s="21" t="inlineStr">
        <is>
          <t>Ciclo 2 (22/10/2026, build corregida): 3 peticiones, 4 aserciones sin fallo; HTTP 201, 200, 400. Mismo comportamiento que en el ciclo 1: Diego (nac. 2008-10-20, 18 años exactos a la fecha del servidor 2026-10-20 UTC): HTTP 201 'Cliente registrado en revision', GET muestra EN_REVISION. Variante menor por 1 día (2008-10-21): HTTP 400 'El cliente tiene 17 anos. Minimo: 18' y no se crea.</t>
        </is>
      </c>
      <c r="J9" s="21" t="inlineStr">
        <is>
          <t>Pass</t>
        </is>
      </c>
      <c r="K9" s="21" t="inlineStr">
        <is>
          <t>N/A</t>
        </is>
      </c>
      <c r="L9" s="21" t="inlineStr">
        <is>
          <t>Re_Prueba_Cierre_E3/04_Regresion_Completa/Walter/TC-REQ04-001.json; Re_Prueba_Cierre_E3/05_Verificaciones_SQL/TC-REQ04-001.txt · Ciclo 1: Resultados_Newman/Walter/TC-REQ04-001.json; Logs_Consola_Servidor/Verificaciones_SQL/REQ-04_Clientes.txt</t>
        </is>
      </c>
      <c r="M9" s="15" t="inlineStr">
        <is>
          <t>—</t>
        </is>
      </c>
    </row>
    <row r="10" ht="39" customHeight="1" s="13">
      <c r="A10" s="15" t="inlineStr">
        <is>
          <t>TC-REQ04-002</t>
        </is>
      </c>
      <c r="B10" s="15" t="inlineStr">
        <is>
          <t>REQ-04</t>
        </is>
      </c>
      <c r="C10" s="15" t="inlineStr">
        <is>
          <t>Fronteras y duplicidad de DPI</t>
        </is>
      </c>
      <c r="D10" s="15" t="inlineStr">
        <is>
          <t>Clientes</t>
        </is>
      </c>
      <c r="E10" s="15" t="inlineStr">
        <is>
          <t>No</t>
        </is>
      </c>
      <c r="F10" s="15" t="inlineStr">
        <is>
          <t>Walter Rosales</t>
        </is>
      </c>
      <c r="G10" s="20" t="n">
        <v>46317</v>
      </c>
      <c r="H10" s="15" t="inlineStr">
        <is>
          <t>12/14 dígitos: HTTP 400 'DPI invalido. Debe tener 13 digitos'. 13 nuevo: aceptado si resto válido. Duplicado: HTTP 409 'Ya existe cliente con ese DPI'.</t>
        </is>
      </c>
      <c r="I10" s="21" t="inlineStr">
        <is>
          <t>Ciclo 2 (22/10/2026, build corregida): 4 peticiones, 7 aserciones sin fallo; HTTP 400, 201, 400, 409. Mismo comportamiento que en el ciclo 1: DPI 12 y 14 dígitos: HTTP 400 'DPI invalido. Debe tener 13 digitos'; DPI 13 nuevo: HTTP 201; DPI duplicado 2999999990101: HTTP 409 'Ya existe cliente con ese DPI'. En BD solo se creó 2999999990198.</t>
        </is>
      </c>
      <c r="J10" s="21" t="inlineStr">
        <is>
          <t>Pass</t>
        </is>
      </c>
      <c r="K10" s="21" t="inlineStr">
        <is>
          <t>N/A</t>
        </is>
      </c>
      <c r="L10" s="21" t="inlineStr">
        <is>
          <t>Re_Prueba_Cierre_E3/04_Regresion_Completa/Walter/TC-REQ04-002.json; Re_Prueba_Cierre_E3/05_Verificaciones_SQL/TC-REQ04-002.txt · Ciclo 1: Resultados_Newman/Walter/TC-REQ04-002.json; Logs_Consola_Servidor/Verificaciones_SQL/REQ-04_Clientes.txt</t>
        </is>
      </c>
      <c r="M10" s="15" t="inlineStr">
        <is>
          <t>—</t>
        </is>
      </c>
    </row>
    <row r="11" ht="39" customHeight="1" s="13">
      <c r="A11" s="15" t="inlineStr">
        <is>
          <t>TC-REQ04-003</t>
        </is>
      </c>
      <c r="B11" s="15" t="inlineStr">
        <is>
          <t>REQ-04</t>
        </is>
      </c>
      <c r="C11" s="15" t="inlineStr">
        <is>
          <t>Validación de correo y teléfono</t>
        </is>
      </c>
      <c r="D11" s="15" t="inlineStr">
        <is>
          <t>Clientes</t>
        </is>
      </c>
      <c r="E11" s="15" t="inlineStr">
        <is>
          <t>No</t>
        </is>
      </c>
      <c r="F11" s="15" t="inlineStr">
        <is>
          <t>Walter Rosales</t>
        </is>
      </c>
      <c r="G11" s="20" t="n">
        <v>46317</v>
      </c>
      <c r="H11" s="15" t="inlineStr">
        <is>
          <t>Correo inválido: HTTP 400 'Email con formato invalido'. Teléfono inválido: HTTP 400 'Telefono invalido. Debe tener 8 digitos'.</t>
        </is>
      </c>
      <c r="I11" s="21" t="inlineStr">
        <is>
          <t>Ciclo 2 (22/10/2026, build corregida): 3 peticiones, 6 aserciones sin fallo; HTTP 400, 400, 400. Mismo comportamiento que en el ciclo 1: Correo sin @: HTTP 400 'Email con formato invalido'; teléfono 7 y 9 dígitos: HTTP 400 'Telefono invalido. Debe tener 8 digitos'. No se creó el DPI 2999999990196.</t>
        </is>
      </c>
      <c r="J11" s="21" t="inlineStr">
        <is>
          <t>Pass</t>
        </is>
      </c>
      <c r="K11" s="21" t="inlineStr">
        <is>
          <t>N/A</t>
        </is>
      </c>
      <c r="L11" s="21" t="inlineStr">
        <is>
          <t>Re_Prueba_Cierre_E3/04_Regresion_Completa/Walter/TC-REQ04-003.json; Re_Prueba_Cierre_E3/05_Verificaciones_SQL/TC-REQ04-003.txt · Ciclo 1: Resultados_Newman/Walter/TC-REQ04-003.json; Logs_Consola_Servidor/Verificaciones_SQL/REQ-04_Clientes.txt</t>
        </is>
      </c>
      <c r="M11" s="15" t="inlineStr">
        <is>
          <t>—</t>
        </is>
      </c>
    </row>
    <row r="12" ht="26.25" customHeight="1" s="13">
      <c r="A12" s="15" t="inlineStr">
        <is>
          <t>TC-REQ05-001</t>
        </is>
      </c>
      <c r="B12" s="15" t="inlineStr">
        <is>
          <t>REQ-05</t>
        </is>
      </c>
      <c r="C12" s="15" t="inlineStr">
        <is>
          <t>Estado inicial del cliente</t>
        </is>
      </c>
      <c r="D12" s="15" t="inlineStr">
        <is>
          <t>Clientes</t>
        </is>
      </c>
      <c r="E12" s="15" t="inlineStr">
        <is>
          <t>No</t>
        </is>
      </c>
      <c r="F12" s="15" t="inlineStr">
        <is>
          <t>Walter Rosales</t>
        </is>
      </c>
      <c r="G12" s="20" t="n">
        <v>46317</v>
      </c>
      <c r="H12" s="15" t="inlineStr">
        <is>
          <t>Estado devuelto EN_REVISION; no ACTIVO automáticamente.</t>
        </is>
      </c>
      <c r="I12" s="21" t="inlineStr">
        <is>
          <t>Ciclo 2 (22/10/2026, build corregida): 2 peticiones, 3 aserciones sin fallo; HTTP 201, 200. Mismo comportamiento que en el ciclo 1: Registro de Elena: HTTP 201; GET devuelve estado EN_REVISION (no ACTIVO). Auditoría CRM REGISTRO_CLIENTE.</t>
        </is>
      </c>
      <c r="J12" s="21" t="inlineStr">
        <is>
          <t>Pass</t>
        </is>
      </c>
      <c r="K12" s="21" t="inlineStr">
        <is>
          <t>N/A</t>
        </is>
      </c>
      <c r="L12" s="21" t="inlineStr">
        <is>
          <t>Re_Prueba_Cierre_E3/04_Regresion_Completa/Walter/TC-REQ05-001.json; Re_Prueba_Cierre_E3/05_Verificaciones_SQL/TC-REQ05-001.txt · Ciclo 1: Resultados_Newman/Walter/TC-REQ05-001.json</t>
        </is>
      </c>
      <c r="M12" s="15" t="inlineStr">
        <is>
          <t>—</t>
        </is>
      </c>
    </row>
    <row r="13" ht="39" customHeight="1" s="13">
      <c r="A13" s="15" t="inlineStr">
        <is>
          <t>TC-REQ05-002</t>
        </is>
      </c>
      <c r="B13" s="15" t="inlineStr">
        <is>
          <t>REQ-05</t>
        </is>
      </c>
      <c r="C13" s="15" t="inlineStr">
        <is>
          <t>EN_REVISION no abre cuenta; ACTIVO sí puede continuar</t>
        </is>
      </c>
      <c r="D13" s="15" t="inlineStr">
        <is>
          <t>Clientes</t>
        </is>
      </c>
      <c r="E13" s="15" t="inlineStr">
        <is>
          <t>No</t>
        </is>
      </c>
      <c r="F13" s="15" t="inlineStr">
        <is>
          <t>Walter Rosales</t>
        </is>
      </c>
      <c r="G13" s="20" t="n">
        <v>46317</v>
      </c>
      <c r="H13" s="15" t="inlineStr">
        <is>
          <t>Antes de aprobar: HTTP 422 indicando cliente no activo. Tras pasar a ACTIVO, la validación de estado deja de bloquear la apertura y el flujo continúa.</t>
        </is>
      </c>
      <c r="I13" s="21" t="inlineStr">
        <is>
          <t>Ciclo 2 (22/10/2026, build corregida): 4 peticiones, 4 aserciones sin fallo; HTTP 200, 422, 200, 201. Mismo comportamiento que en el ciclo 1: Apertura con Carla EN_REVISION: HTTP 422 'El cliente no esta activo. Estado: EN_REVISION' (0 cuentas); PATCH a ACTIVO: HTTP 200; nueva apertura: HTTP 201 AH261020854073 ACTIVA, saldo 0, mínimo Q100.</t>
        </is>
      </c>
      <c r="J13" s="21" t="inlineStr">
        <is>
          <t>Pass</t>
        </is>
      </c>
      <c r="K13" s="21" t="inlineStr">
        <is>
          <t>N/A</t>
        </is>
      </c>
      <c r="L13" s="21" t="inlineStr">
        <is>
          <t>Re_Prueba_Cierre_E3/04_Regresion_Completa/Walter/TC-REQ05-002.json; Re_Prueba_Cierre_E3/05_Verificaciones_SQL/TC-REQ05-002.txt · Ciclo 1: Resultados_Newman/Walter/TC-REQ05-002.json; Logs_Consola_Servidor/Verificaciones_SQL/TC-REQ05-002.txt</t>
        </is>
      </c>
      <c r="M13" s="15" t="inlineStr">
        <is>
          <t>—</t>
        </is>
      </c>
    </row>
    <row r="14" ht="39" customHeight="1" s="13">
      <c r="A14" s="15" t="inlineStr">
        <is>
          <t>TC-REQ06-001</t>
        </is>
      </c>
      <c r="B14" s="15" t="inlineStr">
        <is>
          <t>REQ-06</t>
        </is>
      </c>
      <c r="C14" s="15" t="inlineStr">
        <is>
          <t>Apertura de cuenta con todas las precondiciones</t>
        </is>
      </c>
      <c r="D14" s="15" t="inlineStr">
        <is>
          <t>Cuentas</t>
        </is>
      </c>
      <c r="E14" s="15" t="inlineStr">
        <is>
          <t>Sí</t>
        </is>
      </c>
      <c r="F14" s="15" t="inlineStr">
        <is>
          <t>Walter Rosales</t>
        </is>
      </c>
      <c r="G14" s="20" t="n">
        <v>46317</v>
      </c>
      <c r="H14" s="15" t="inlineStr">
        <is>
          <t>HTTP 201. Cuenta ACTIVA; número con prefijo AH; saldo inicial 0; saldo mínimo Q100.00 según regla SQL; respuesta 'Cuenta abierta correctamente'.</t>
        </is>
      </c>
      <c r="I14" s="21" t="inlineStr">
        <is>
          <t>Ciclo 2 (22/10/2026, build corregida): 3 peticiones, 6 aserciones sin fallo; HTTP 422, 201, 200. Mismo comportamiento que en el ciclo 1: HTTP 201 'Cuenta abierta correctamente' AH261020969652; GET: ACTIVA, saldo 0.00, saldoMinimo 100.00, límite 5000, cajero de apertura registrado. Cuentas totales 2017→2018.</t>
        </is>
      </c>
      <c r="J14" s="21" t="inlineStr">
        <is>
          <t>Pass</t>
        </is>
      </c>
      <c r="K14" s="21" t="inlineStr">
        <is>
          <t>N/A</t>
        </is>
      </c>
      <c r="L14" s="21" t="inlineStr">
        <is>
          <t>Re_Prueba_Cierre_E3/04_Regresion_Completa/Walter/TC-REQ06-001.json; Re_Prueba_Cierre_E3/05_Verificaciones_SQL/TC-REQ06-001.txt · Ciclo 1: Resultados_Newman/Walter/TC-REQ06-001.json; Logs_Consola_Servidor/Verificaciones_SQL/TC-REQ06.txt</t>
        </is>
      </c>
      <c r="M14" s="15" t="inlineStr">
        <is>
          <t>—</t>
        </is>
      </c>
    </row>
    <row r="15" ht="39" customHeight="1" s="13">
      <c r="A15" s="15" t="inlineStr">
        <is>
          <t>TC-REQ06-002</t>
        </is>
      </c>
      <c r="B15" s="15" t="inlineStr">
        <is>
          <t>REQ-06</t>
        </is>
      </c>
      <c r="C15" s="15" t="inlineStr">
        <is>
          <t>Negativas de apertura por precondición</t>
        </is>
      </c>
      <c r="D15" s="15" t="inlineStr">
        <is>
          <t>Cuentas</t>
        </is>
      </c>
      <c r="E15" s="15" t="inlineStr">
        <is>
          <t>Sí</t>
        </is>
      </c>
      <c r="F15" s="15" t="inlineStr">
        <is>
          <t>Walter Rosales</t>
        </is>
      </c>
      <c r="G15" s="20" t="n">
        <v>46317</v>
      </c>
      <c r="H15" s="15" t="inlineStr">
        <is>
          <t>Cliente no activo→422. Tipo inválido→400 con lista de tipos activos. Sin empleado activo→422. Sin caja→400 'Abra su caja primero'. No se crea cuenta en ninguna variante.</t>
        </is>
      </c>
      <c r="I15" s="21" t="inlineStr">
        <is>
          <t>Ciclo 2 (22/10/2026, build corregida): 4 peticiones, 5 aserciones sin fallo; HTTP 422, 400, 422, 400. Mismo comportamiento que en el ciclo 1: R2 Gabriel EN_REVISION: 422; R3 tipo inválido: 400 'Tipo de cuenta invalido. Tipos activos: AHORRO, MONETARIA'; R4 sin empleado: 422 'El usuario autenticado no tiene un empleado activo asociado.'; R5 sin caja: 400 'Abra su caja primero'. Ninguna cuenta creada (total se mantiene en 2018).</t>
        </is>
      </c>
      <c r="J15" s="21" t="inlineStr">
        <is>
          <t>Pass</t>
        </is>
      </c>
      <c r="K15" s="21" t="inlineStr">
        <is>
          <t>N/A</t>
        </is>
      </c>
      <c r="L15" s="21" t="inlineStr">
        <is>
          <t>Re_Prueba_Cierre_E3/04_Regresion_Completa/Walter/TC-REQ06-002.json; Re_Prueba_Cierre_E3/05_Verificaciones_SQL/TC-REQ06-002.txt · Ciclo 1: Resultados_Newman/Walter/TC-REQ06-002.json; Logs_Consola_Servidor/Verificaciones_SQL/TC-REQ06.txt</t>
        </is>
      </c>
      <c r="M15" s="15" t="inlineStr">
        <is>
          <t>—</t>
        </is>
      </c>
    </row>
    <row r="16" ht="26.25" customHeight="1" s="13">
      <c r="A16" s="15" t="inlineStr">
        <is>
          <t>TC-REQ07-001</t>
        </is>
      </c>
      <c r="B16" s="15" t="inlineStr">
        <is>
          <t>REQ-07</t>
        </is>
      </c>
      <c r="C16" s="15" t="inlineStr">
        <is>
          <t>Bloqueo de cuenta activa</t>
        </is>
      </c>
      <c r="D16" s="15" t="inlineStr">
        <is>
          <t>Cuentas</t>
        </is>
      </c>
      <c r="E16" s="15" t="inlineStr">
        <is>
          <t>No</t>
        </is>
      </c>
      <c r="F16" s="15" t="inlineStr">
        <is>
          <t>Walter Rosales</t>
        </is>
      </c>
      <c r="G16" s="20" t="n">
        <v>46317</v>
      </c>
      <c r="H16" s="15" t="inlineStr">
        <is>
          <t>HTTP 200. Estado cambia a BLOQUEADA y respuesta 'Cuenta bloqueada'.</t>
        </is>
      </c>
      <c r="I16" s="21" t="inlineStr">
        <is>
          <t>Ciclo 2 (22/10/2026, build corregida): 2 peticiones, 4 aserciones sin fallo; HTTP 200, 200. Mismo comportamiento que en el ciclo 1: PATCH bloquear AH261002000210: HTTP 200 'Cuenta bloqueada'; GET y BD: estado BLOQUEADA, saldo sin cambio (Q1000).</t>
        </is>
      </c>
      <c r="J16" s="21" t="inlineStr">
        <is>
          <t>Pass</t>
        </is>
      </c>
      <c r="K16" s="21" t="inlineStr">
        <is>
          <t>N/A</t>
        </is>
      </c>
      <c r="L16" s="21" t="inlineStr">
        <is>
          <t>Re_Prueba_Cierre_E3/04_Regresion_Completa/Walter/TC-REQ07-001.json; Re_Prueba_Cierre_E3/05_Verificaciones_SQL/TC-REQ07-001.txt · Ciclo 1: Resultados_Newman/Walter/TC-REQ07-001.json; Logs_Consola_Servidor/Verificaciones_SQL/TC-REQ07.txt</t>
        </is>
      </c>
      <c r="M16" s="15" t="inlineStr">
        <is>
          <t>—</t>
        </is>
      </c>
    </row>
    <row r="17" ht="39" customHeight="1" s="13">
      <c r="A17" s="15" t="inlineStr">
        <is>
          <t>TC-REQ07-002</t>
        </is>
      </c>
      <c r="B17" s="15" t="inlineStr">
        <is>
          <t>REQ-07</t>
        </is>
      </c>
      <c r="C17" s="15" t="inlineStr">
        <is>
          <t>Cierre solo con saldo cero</t>
        </is>
      </c>
      <c r="D17" s="15" t="inlineStr">
        <is>
          <t>Cuentas</t>
        </is>
      </c>
      <c r="E17" s="15" t="inlineStr">
        <is>
          <t>No</t>
        </is>
      </c>
      <c r="F17" s="15" t="inlineStr">
        <is>
          <t>Walter Rosales</t>
        </is>
      </c>
      <c r="G17" s="20" t="n">
        <v>46317</v>
      </c>
      <c r="H17" s="15" t="inlineStr">
        <is>
          <t>Saldo &gt;0: HTTP 422 'No se puede cerrar. Saldo actual: Q...'. Saldo 0: HTTP 200 y estado CERRADA; después no debe tratarse como cuenta operable.</t>
        </is>
      </c>
      <c r="I17" s="21" t="inlineStr">
        <is>
          <t>Ciclo 2 (22/10/2026, build corregida): 3 peticiones, 5 aserciones sin fallo; HTTP 422, 200, 200. Mismo comportamiento que en el ciclo 1: Cerrar AH261002000203 (Q500): HTTP 422 'No se puede cerrar. Saldo actual: Q500.00' (sigue ACTIVA); cerrar AH261002000204 (Q0): HTTP 200 'Cuenta cerrada'; BD: CERRADA con fecha_cierre y motivo.</t>
        </is>
      </c>
      <c r="J17" s="21" t="inlineStr">
        <is>
          <t>Pass</t>
        </is>
      </c>
      <c r="K17" s="21" t="inlineStr">
        <is>
          <t>N/A</t>
        </is>
      </c>
      <c r="L17" s="21" t="inlineStr">
        <is>
          <t>Re_Prueba_Cierre_E3/04_Regresion_Completa/Walter/TC-REQ07-002.json; Re_Prueba_Cierre_E3/05_Verificaciones_SQL/TC-REQ07-002.txt · Ciclo 1: Resultados_Newman/Walter/TC-REQ07-002.json; Logs_Consola_Servidor/Verificaciones_SQL/TC-REQ07.txt</t>
        </is>
      </c>
      <c r="M17" s="15" t="inlineStr">
        <is>
          <t>—</t>
        </is>
      </c>
    </row>
    <row r="18" ht="39" customHeight="1" s="13">
      <c r="A18" s="15" t="inlineStr">
        <is>
          <t>TC-REQ07-003</t>
        </is>
      </c>
      <c r="B18" s="15" t="inlineStr">
        <is>
          <t>REQ-07</t>
        </is>
      </c>
      <c r="C18" s="15" t="inlineStr">
        <is>
          <t>Actualización de límite no negativo y no modificable al cerrar</t>
        </is>
      </c>
      <c r="D18" s="15" t="inlineStr">
        <is>
          <t>Cuentas</t>
        </is>
      </c>
      <c r="E18" s="15" t="inlineStr">
        <is>
          <t>No</t>
        </is>
      </c>
      <c r="F18" s="15" t="inlineStr">
        <is>
          <t>Walter Rosales</t>
        </is>
      </c>
      <c r="G18" s="20" t="n">
        <v>46317</v>
      </c>
      <c r="H18" s="15" t="inlineStr">
        <is>
          <t>-0.01→HTTP 400 'El límite diario no puede ser negativo.'. 0.00 es aceptable. CERRADA→HTTP 422 'No se puede actualizar el límite de una cuenta cerrada.'</t>
        </is>
      </c>
      <c r="I18" s="21" t="inlineStr">
        <is>
          <t>Ciclo 2 (22/10/2026, build corregida): 3 peticiones, 5 aserciones sin fallo; HTTP 400, 200, 422. Mismo comportamiento que en el ciclo 1: Límite -0.01: HTTP 400 'El límite diario no puede ser negativo.'; límite 0.00: HTTP 200 'Límite diario actualizado a Q0.00.'; cuenta CERRADA: HTTP 422 'No se puede actualizar el límite de una cuenta cerrada.' BD: AH261002000211 límite 0.00; AH261002000205 sin cambio.</t>
        </is>
      </c>
      <c r="J18" s="21" t="inlineStr">
        <is>
          <t>Pass</t>
        </is>
      </c>
      <c r="K18" s="21" t="inlineStr">
        <is>
          <t>N/A</t>
        </is>
      </c>
      <c r="L18" s="21" t="inlineStr">
        <is>
          <t>Re_Prueba_Cierre_E3/04_Regresion_Completa/Walter/TC-REQ07-003.json; Re_Prueba_Cierre_E3/05_Verificaciones_SQL/TC-REQ07-003.txt · Ciclo 1: Resultados_Newman/Walter/TC-REQ07-003.json; Logs_Consola_Servidor/Verificaciones_SQL/TC-REQ07.txt</t>
        </is>
      </c>
      <c r="M18" s="15" t="inlineStr">
        <is>
          <t>—</t>
        </is>
      </c>
    </row>
    <row r="19" ht="26.25" customHeight="1" s="13">
      <c r="A19" s="15" t="inlineStr">
        <is>
          <t>TC-REQ08-001</t>
        </is>
      </c>
      <c r="B19" s="15" t="inlineStr">
        <is>
          <t>REQ-08</t>
        </is>
      </c>
      <c r="C19" s="15" t="inlineStr">
        <is>
          <t>Una sola caja abierta por día</t>
        </is>
      </c>
      <c r="D19" s="15" t="inlineStr">
        <is>
          <t>Caja</t>
        </is>
      </c>
      <c r="E19" s="15" t="inlineStr">
        <is>
          <t>Sí</t>
        </is>
      </c>
      <c r="F19" s="15" t="inlineStr">
        <is>
          <t>Sergio Och</t>
        </is>
      </c>
      <c r="G19" s="20" t="n">
        <v>46317</v>
      </c>
      <c r="H19" s="15" t="inlineStr">
        <is>
          <t>Primera apertura exitosa. Segunda: HTTP 422 'Ya tiene una sesion de caja abierta hoy'.</t>
        </is>
      </c>
      <c r="I19" s="21" t="inlineStr">
        <is>
          <t>Ciclo 2 (22/10/2026, build corregida): 2 peticiones, 3 aserciones sin fallo; HTTP 200, 422. Mismo comportamiento que en el ciclo 1: Tras cerrar cajas (sección 5): 1.ª apertura HTTP 200 'Caja abierta. Puede comenzar a operar.'; 2.ª apertura el mismo día: HTTP 422 'Ya tiene una sesion de caja abierta hoy'. Una sola sesión ABIERTA en BD.</t>
        </is>
      </c>
      <c r="J19" s="21" t="inlineStr">
        <is>
          <t>Pass</t>
        </is>
      </c>
      <c r="K19" s="21" t="inlineStr">
        <is>
          <t>N/A</t>
        </is>
      </c>
      <c r="L19" s="21" t="inlineStr">
        <is>
          <t>Re_Prueba_Cierre_E3/04_Regresion_Completa/Sergio/TC-REQ08-001.json; Re_Prueba_Cierre_E3/05_Verificaciones_SQL/TC-REQ08-001.txt · Ciclo 1: Resultados_Newman/Sergio/TC-REQ08-001.json; Logs_Consola_Servidor/Verificaciones_SQL/TC-REQ08.txt</t>
        </is>
      </c>
      <c r="M19" s="15" t="inlineStr">
        <is>
          <t>—</t>
        </is>
      </c>
    </row>
    <row r="20" ht="26.25" customHeight="1" s="13">
      <c r="A20" s="15" t="inlineStr">
        <is>
          <t>TC-REQ08-002</t>
        </is>
      </c>
      <c r="B20" s="15" t="inlineStr">
        <is>
          <t>REQ-08</t>
        </is>
      </c>
      <c r="C20" s="15" t="inlineStr">
        <is>
          <t>Frontera Q10.00/Q10.01 sin justificación</t>
        </is>
      </c>
      <c r="D20" s="15" t="inlineStr">
        <is>
          <t>Caja</t>
        </is>
      </c>
      <c r="E20" s="15" t="inlineStr">
        <is>
          <t>Sí</t>
        </is>
      </c>
      <c r="F20" s="15" t="inlineStr">
        <is>
          <t>Sergio Och</t>
        </is>
      </c>
      <c r="G20" s="20" t="n">
        <v>46317</v>
      </c>
      <c r="H20" s="15" t="inlineStr">
        <is>
          <t>Q10.00 no dispara la regla (&gt;10). Q10.01: HTTP 422 con 'Diferencia de Q10.01 requiere justificacion.'</t>
        </is>
      </c>
      <c r="I20" s="21" t="inlineStr">
        <is>
          <t>Ciclo 2 (22/10/2026, build corregida): 3 peticiones, 4 aserciones sin fallo; HTTP 200, 200, 422. Mismo comportamiento que en el ciclo 1: Cierre +Q10.00 sin justificación: HTTP 200 (diferencia 10.00, SOBRANTE); reapertura HTTP 200; cierre +Q10.01 sin justificación: HTTP 422 'Diferencia de Q10.01 requiere justificacion.' (caja sigue ABIERTA).</t>
        </is>
      </c>
      <c r="J20" s="21" t="inlineStr">
        <is>
          <t>Pass</t>
        </is>
      </c>
      <c r="K20" s="21" t="inlineStr">
        <is>
          <t>N/A</t>
        </is>
      </c>
      <c r="L20" s="21" t="inlineStr">
        <is>
          <t>Re_Prueba_Cierre_E3/04_Regresion_Completa/Sergio/TC-REQ08-002.json; Re_Prueba_Cierre_E3/05_Verificaciones_SQL/TC-REQ08-002.txt · Ciclo 1: Resultados_Newman/Sergio/TC-REQ08-002.json; Logs_Consola_Servidor/Verificaciones_SQL/TC-REQ08.txt</t>
        </is>
      </c>
      <c r="M20" s="15" t="inlineStr">
        <is>
          <t>—</t>
        </is>
      </c>
    </row>
    <row r="21" ht="26.25" customHeight="1" s="13">
      <c r="A21" s="15" t="inlineStr">
        <is>
          <t>TC-REQ08-003</t>
        </is>
      </c>
      <c r="B21" s="15" t="inlineStr">
        <is>
          <t>REQ-08</t>
        </is>
      </c>
      <c r="C21" s="15" t="inlineStr">
        <is>
          <t>Cierre con diferencia mayor a Q10 justificada</t>
        </is>
      </c>
      <c r="D21" s="15" t="inlineStr">
        <is>
          <t>Caja</t>
        </is>
      </c>
      <c r="E21" s="15" t="inlineStr">
        <is>
          <t>Sí</t>
        </is>
      </c>
      <c r="F21" s="15" t="inlineStr">
        <is>
          <t>Sergio Och</t>
        </is>
      </c>
      <c r="G21" s="20" t="n">
        <v>46317</v>
      </c>
      <c r="H21" s="15" t="inlineStr">
        <is>
          <t>Cierre aceptado; diferencia Q10.01; resultado SOBRANTE. Variante Q989.99 produce FALTANTE.</t>
        </is>
      </c>
      <c r="I21" s="21" t="inlineStr">
        <is>
          <t>Ciclo 2 (22/10/2026, build corregida): 1 peticiones, 2 aserciones sin fallo; HTTP 200. Mismo comportamiento que en el ciclo 1: Cierre Q1010.01 con justificación: HTTP 200, efectivoEsperado 1000.00, diferencia 10.01, resultado SOBRANTE; BD: CERRADA con justificación.</t>
        </is>
      </c>
      <c r="J21" s="21" t="inlineStr">
        <is>
          <t>Pass</t>
        </is>
      </c>
      <c r="K21" s="21" t="inlineStr">
        <is>
          <t>N/A</t>
        </is>
      </c>
      <c r="L21" s="21" t="inlineStr">
        <is>
          <t>Re_Prueba_Cierre_E3/04_Regresion_Completa/Sergio/TC-REQ08-003.json; Re_Prueba_Cierre_E3/05_Verificaciones_SQL/TC-REQ08-003.txt · Ciclo 1: Resultados_Newman/Sergio/TC-REQ08-003.json; Logs_Consola_Servidor/Verificaciones_SQL/TC-REQ08.txt</t>
        </is>
      </c>
      <c r="M21" s="15" t="inlineStr">
        <is>
          <t>—</t>
        </is>
      </c>
    </row>
    <row r="22" ht="39" customHeight="1" s="13">
      <c r="A22" s="15" t="inlineStr">
        <is>
          <t>TC-REQ09-001</t>
        </is>
      </c>
      <c r="B22" s="15" t="inlineStr">
        <is>
          <t>REQ-09</t>
        </is>
      </c>
      <c r="C22" s="15" t="inlineStr">
        <is>
          <t>Monto mínimo de depósito</t>
        </is>
      </c>
      <c r="D22" s="15" t="inlineStr">
        <is>
          <t>Transacciones</t>
        </is>
      </c>
      <c r="E22" s="15" t="inlineStr">
        <is>
          <t>Sí</t>
        </is>
      </c>
      <c r="F22" s="15" t="inlineStr">
        <is>
          <t>Sergio Och</t>
        </is>
      </c>
      <c r="G22" s="20" t="n">
        <v>46317</v>
      </c>
      <c r="H22" s="15" t="inlineStr">
        <is>
          <t>Q0.00→HTTP 400 'El monto debe ser mayor a cero.'. Q0.01 entra al flujo transaccional y, con dependencias válidas, debe completarse.</t>
        </is>
      </c>
      <c r="I22" s="21" t="inlineStr">
        <is>
          <t>Ciclo 2 (22/10/2026, build corregida): 3 peticiones, 4 aserciones sin fallo; HTTP 200, 400, 200. Mismo comportamiento que en el ciclo 1: Depósito Q0.00: HTTP 400 'El monto debe ser mayor a cero.' (sin movimiento); Q0.01: HTTP 200 DEP-*; saldo 7000.00→7000.01, movimiento DEPOSITO/COMPLETADA, caja total_depositos +0.01, auditoría EXITOSO.</t>
        </is>
      </c>
      <c r="J22" s="21" t="inlineStr">
        <is>
          <t>Pass</t>
        </is>
      </c>
      <c r="K22" s="21" t="inlineStr">
        <is>
          <t>N/A</t>
        </is>
      </c>
      <c r="L22" s="21" t="inlineStr">
        <is>
          <t>Re_Prueba_Cierre_E3/04_Regresion_Completa/Sergio/TC-REQ09-001.json; Re_Prueba_Cierre_E3/05_Verificaciones_SQL/TC-REQ09-001.txt · Ciclo 1: Resultados_Newman/Sergio/TC-REQ09-001.json; Logs_Consola_Servidor/Verificaciones_SQL/TC-REQ09-001.txt</t>
        </is>
      </c>
      <c r="M22" s="15" t="inlineStr">
        <is>
          <t>Financiero</t>
        </is>
      </c>
    </row>
    <row r="23" ht="51.75" customHeight="1" s="13">
      <c r="A23" s="15" t="inlineStr">
        <is>
          <t>TC-REQ09-002</t>
        </is>
      </c>
      <c r="B23" s="15" t="inlineStr">
        <is>
          <t>REQ-09</t>
        </is>
      </c>
      <c r="C23" s="15" t="inlineStr">
        <is>
          <t>Depósito válido reconcilia cuenta, movimiento y caja</t>
        </is>
      </c>
      <c r="D23" s="15" t="inlineStr">
        <is>
          <t>Transacciones</t>
        </is>
      </c>
      <c r="E23" s="15" t="inlineStr">
        <is>
          <t>Sí</t>
        </is>
      </c>
      <c r="F23" s="15" t="inlineStr">
        <is>
          <t>Sergio Och</t>
        </is>
      </c>
      <c r="G23" s="20" t="n">
        <v>46317</v>
      </c>
      <c r="H23" s="15" t="inlineStr">
        <is>
          <t>HTTP 200; saldo y saldo_disponible aumentan exactamente Q2000; crea movimiento DEPOSITO/COMPLETADA con referencia DEP-*; total_depositos de caja aumenta Q2000; se registra auditoría.</t>
        </is>
      </c>
      <c r="I23" s="21" t="inlineStr">
        <is>
          <t>Ciclo 2 (22/10/2026, build corregida): 2 peticiones, 3 aserciones sin fallo; HTTP 200, 200. Mismo comportamiento que en el ciclo 1: HTTP 200 DEP-1edd670a…; saldo y saldo_disponible 7000.01→9000.01 (+2000 exactos); movimiento DEPOSITO/COMPLETADA; caja total_depositos 0.01→2000.01; auditoría TRANSACCIONES/DEPOSITO antes/después; historial lo muestra.</t>
        </is>
      </c>
      <c r="J23" s="21" t="inlineStr">
        <is>
          <t>Pass</t>
        </is>
      </c>
      <c r="K23" s="21" t="inlineStr">
        <is>
          <t>N/A</t>
        </is>
      </c>
      <c r="L23" s="21" t="inlineStr">
        <is>
          <t>Re_Prueba_Cierre_E3/04_Regresion_Completa/Sergio/TC-REQ09-002.json; Re_Prueba_Cierre_E3/05_Verificaciones_SQL/TC-REQ09-002.txt · Ciclo 1: Resultados_Newman/Sergio/TC-REQ09-002.json; Logs_Consola_Servidor/Verificaciones_SQL/TC-REQ09-002.txt</t>
        </is>
      </c>
      <c r="M23" s="15" t="inlineStr">
        <is>
          <t>Financiero</t>
        </is>
      </c>
    </row>
    <row r="24" ht="39" customHeight="1" s="13">
      <c r="A24" s="15" t="inlineStr">
        <is>
          <t>TC-REQ09-003</t>
        </is>
      </c>
      <c r="B24" s="15" t="inlineStr">
        <is>
          <t>REQ-09</t>
        </is>
      </c>
      <c r="C24" s="15" t="inlineStr">
        <is>
          <t>Depósito rechazado por estado/caja</t>
        </is>
      </c>
      <c r="D24" s="15" t="inlineStr">
        <is>
          <t>Transacciones</t>
        </is>
      </c>
      <c r="E24" s="15" t="inlineStr">
        <is>
          <t>Sí</t>
        </is>
      </c>
      <c r="F24" s="15" t="inlineStr">
        <is>
          <t>Sergio Och</t>
        </is>
      </c>
      <c r="G24" s="20" t="n">
        <v>46317</v>
      </c>
      <c r="H24" s="15" t="inlineStr">
        <is>
          <t>Cuenta no ACTIVA→HTTP 422 desde regla SQL. Sin caja→HTTP 422 'El usuario autenticado debe tener un empleado activo con caja abierta.'. No cambia saldo.</t>
        </is>
      </c>
      <c r="I24" s="21" t="inlineStr">
        <is>
          <t>Ciclo 2 (22/10/2026, build corregida): 2 peticiones, 3 aserciones sin fallo; HTTP 422, 422. Mismo comportamiento que en el ciclo 1: Cuenta BLOQUEADA: HTTP 422 'La cuenta AH261002000103 no esta activa. Estado actual: BLOQUEADA'; qa_cajero2 sin caja: HTTP 422 'El usuario autenticado debe tener un empleado activo con caja abierta.' Saldos, movimientos y caja sin cambios.</t>
        </is>
      </c>
      <c r="J24" s="21" t="inlineStr">
        <is>
          <t>Pass</t>
        </is>
      </c>
      <c r="K24" s="21" t="inlineStr">
        <is>
          <t>N/A</t>
        </is>
      </c>
      <c r="L24" s="21" t="inlineStr">
        <is>
          <t>Re_Prueba_Cierre_E3/04_Regresion_Completa/Sergio/TC-REQ09-003.json; Re_Prueba_Cierre_E3/05_Verificaciones_SQL/TC-REQ09-003.txt · Ciclo 1: Resultados_Newman/Sergio/TC-REQ09-003.json; Logs_Consola_Servidor/Verificaciones_SQL/TC-REQ09-003.txt</t>
        </is>
      </c>
      <c r="M24" s="15" t="inlineStr">
        <is>
          <t>Financiero</t>
        </is>
      </c>
    </row>
    <row r="25" ht="26.25" customHeight="1" s="13">
      <c r="A25" s="15" t="inlineStr">
        <is>
          <t>TC-REQ10-001</t>
        </is>
      </c>
      <c r="B25" s="15" t="inlineStr">
        <is>
          <t>REQ-10</t>
        </is>
      </c>
      <c r="C25" s="15" t="inlineStr">
        <is>
          <t>Monto de retiro mayor que cero</t>
        </is>
      </c>
      <c r="D25" s="15" t="inlineStr">
        <is>
          <t>Transacciones</t>
        </is>
      </c>
      <c r="E25" s="15" t="inlineStr">
        <is>
          <t>Sí</t>
        </is>
      </c>
      <c r="F25" s="15" t="inlineStr">
        <is>
          <t>Sergio Och</t>
        </is>
      </c>
      <c r="G25" s="20" t="n">
        <v>46317</v>
      </c>
      <c r="H25" s="15" t="inlineStr">
        <is>
          <t>Q0.00→HTTP 400 'El monto debe ser mayor a cero.'. Q0.01 puede procesarse si respeta mínimo y límite.</t>
        </is>
      </c>
      <c r="I25" s="21" t="inlineStr">
        <is>
          <t>Ciclo 2 (22/10/2026, build corregida): 2 peticiones, 3 aserciones sin fallo; HTTP 400, 200. Mismo comportamiento que en el ciclo 1: Retiro Q0.00: HTTP 400 'El monto debe ser mayor a cero.'; Q0.01: HTTP 200 RET-*; saldo 9000.01→9000.00, monto_retirado_hoy +0.01, movimiento RETIRO/COMPLETADA, caja total_retiros +0.01.</t>
        </is>
      </c>
      <c r="J25" s="21" t="inlineStr">
        <is>
          <t>Pass</t>
        </is>
      </c>
      <c r="K25" s="21" t="inlineStr">
        <is>
          <t>N/A</t>
        </is>
      </c>
      <c r="L25" s="21" t="inlineStr">
        <is>
          <t>Re_Prueba_Cierre_E3/04_Regresion_Completa/Sergio/TC-REQ10-001.json; Re_Prueba_Cierre_E3/05_Verificaciones_SQL/TC-REQ10-001.txt · Ciclo 1: Resultados_Newman/Sergio/TC-REQ10-001.json; Logs_Consola_Servidor/Verificaciones_SQL/TC-REQ10-001.txt</t>
        </is>
      </c>
      <c r="M25" s="15" t="inlineStr">
        <is>
          <t>Financiero</t>
        </is>
      </c>
    </row>
    <row r="26" ht="51.75" customHeight="1" s="13">
      <c r="A26" s="15" t="inlineStr">
        <is>
          <t>TC-REQ10-002</t>
        </is>
      </c>
      <c r="B26" s="15" t="inlineStr">
        <is>
          <t>REQ-10</t>
        </is>
      </c>
      <c r="C26" s="15" t="inlineStr">
        <is>
          <t>Retiro válido actualiza saldo, caja y acumulado diario</t>
        </is>
      </c>
      <c r="D26" s="15" t="inlineStr">
        <is>
          <t>Transacciones</t>
        </is>
      </c>
      <c r="E26" s="15" t="inlineStr">
        <is>
          <t>Sí</t>
        </is>
      </c>
      <c r="F26" s="15" t="inlineStr">
        <is>
          <t>Sergio Och</t>
        </is>
      </c>
      <c r="G26" s="20" t="n">
        <v>46317</v>
      </c>
      <c r="H26" s="15" t="inlineStr">
        <is>
          <t>HTTP 200; saldo y disponible disminuyen Q100; monto_retirado_hoy aumenta Q100; movimiento RETIRO/COMPLETADA; total_retiros de caja +Q100; auditoría registrada.</t>
        </is>
      </c>
      <c r="I26" s="21" t="inlineStr">
        <is>
          <t>Ciclo 2 (22/10/2026, build corregida): 1 peticiones, 1 aserciones sin fallo; HTTP 200. Mismo comportamiento que en el ciclo 1: HTTP 200 RET-25d410a3…; AH261002000206 saldo y disponible 2500→2400; monto_retirado_hoy 0→100; movimiento RETIRO/COMPLETADA; caja total_retiros +100; auditoría TRANSACCIONES/RETIRO.</t>
        </is>
      </c>
      <c r="J26" s="21" t="inlineStr">
        <is>
          <t>Pass</t>
        </is>
      </c>
      <c r="K26" s="21" t="inlineStr">
        <is>
          <t>N/A</t>
        </is>
      </c>
      <c r="L26" s="21" t="inlineStr">
        <is>
          <t>Re_Prueba_Cierre_E3/04_Regresion_Completa/Sergio/TC-REQ10-002.json; Re_Prueba_Cierre_E3/05_Verificaciones_SQL/TC-REQ10-002.txt · Ciclo 1: Resultados_Newman/Sergio/TC-REQ10-002.json; Logs_Consola_Servidor/Verificaciones_SQL/TC-REQ10-002.txt</t>
        </is>
      </c>
      <c r="M26" s="15" t="inlineStr">
        <is>
          <t>Financiero</t>
        </is>
      </c>
    </row>
    <row r="27" ht="39" customHeight="1" s="13">
      <c r="A27" s="15" t="inlineStr">
        <is>
          <t>TC-REQ10-003</t>
        </is>
      </c>
      <c r="B27" s="15" t="inlineStr">
        <is>
          <t>REQ-10</t>
        </is>
      </c>
      <c r="C27" s="15" t="inlineStr">
        <is>
          <t>Frontera del límite diario en AHORRO</t>
        </is>
      </c>
      <c r="D27" s="15" t="inlineStr">
        <is>
          <t>Transacciones</t>
        </is>
      </c>
      <c r="E27" s="15" t="inlineStr">
        <is>
          <t>Sí</t>
        </is>
      </c>
      <c r="F27" s="15" t="inlineStr">
        <is>
          <t>Sergio Och</t>
        </is>
      </c>
      <c r="G27" s="20" t="n">
        <v>46317</v>
      </c>
      <c r="H27" s="15" t="inlineStr">
        <is>
          <t>Q5000.00 no excede la condición '&gt;'. Q5000.01→HTTP 422 con mensaje de límite diario excedido. Mantener H-01 abierto para equivalencia entre canales.</t>
        </is>
      </c>
      <c r="I27" s="21" t="inlineStr">
        <is>
          <t>Ciclo 2 (22/10/2026, build corregida): 2 peticiones, 3 aserciones sin fallo; HTTP 200, 422. Mismo comportamiento que en el ciclo 1: Q5000.00: HTTP 200 (saldo 12000→7000, retirado hoy 5000). Tras reiniciar fixture, Q5000.01: HTTP 422 'Limite diario excedido. Retirado hoy: Q0.00. Limite: Q5000.00. Puede retirar maximo: Q5000.00' sin movimiento. H-01: ver BC-01.</t>
        </is>
      </c>
      <c r="J27" s="21" t="inlineStr">
        <is>
          <t>Pass</t>
        </is>
      </c>
      <c r="K27" s="21" t="inlineStr">
        <is>
          <t>N/A</t>
        </is>
      </c>
      <c r="L27" s="21" t="inlineStr">
        <is>
          <t>Re_Prueba_Cierre_E3/04_Regresion_Completa/Sergio/TC-REQ10-003_parte1_Q5000.00.json; Re_Prueba_Cierre_E3/04_Regresion_Completa/Sergio/TC-REQ10-003_parte2_Q5000.01.json; Re_Prueba_Cierre_E3/05_Verificaciones_SQL/TC-REQ10-003.txt · Ciclo 1: Resultados_Newman/Sergio/TC-REQ10-003_parte1_Q5000.00.json, _parte2_Q5000.01.json; Logs_Consola_Servidor/Verificaciones_SQL/TC-REQ10-003.txt</t>
        </is>
      </c>
      <c r="M27" s="15" t="inlineStr">
        <is>
          <t>Financiero</t>
        </is>
      </c>
    </row>
    <row r="28" ht="26.25" customHeight="1" s="13">
      <c r="A28" s="15" t="inlineStr">
        <is>
          <t>TC-REQ11-001</t>
        </is>
      </c>
      <c r="B28" s="15" t="inlineStr">
        <is>
          <t>REQ-11</t>
        </is>
      </c>
      <c r="C28" s="15" t="inlineStr">
        <is>
          <t>Origen y destino no pueden ser la misma cuenta</t>
        </is>
      </c>
      <c r="D28" s="15" t="inlineStr">
        <is>
          <t>Transacciones</t>
        </is>
      </c>
      <c r="E28" s="15" t="inlineStr">
        <is>
          <t>Sí</t>
        </is>
      </c>
      <c r="F28" s="15" t="inlineStr">
        <is>
          <t>Sergio Och</t>
        </is>
      </c>
      <c r="G28" s="20" t="n">
        <v>46317</v>
      </c>
      <c r="H28" s="15" t="inlineStr">
        <is>
          <t>HTTP 400 'La cuenta origen y destino no pueden ser la misma'. No se crean movimientos.</t>
        </is>
      </c>
      <c r="I28" s="21" t="inlineStr">
        <is>
          <t>Ciclo 2 (22/10/2026, build corregida): 1 peticiones, 2 aserciones sin fallo; HTTP 400. Mismo comportamiento que en el ciclo 1: HTTP 400 'La cuenta origen y destino no pueden ser la misma'; 0 movimientos y 0 transferencias creadas.</t>
        </is>
      </c>
      <c r="J28" s="21" t="inlineStr">
        <is>
          <t>Pass</t>
        </is>
      </c>
      <c r="K28" s="21" t="inlineStr">
        <is>
          <t>N/A</t>
        </is>
      </c>
      <c r="L28" s="21" t="inlineStr">
        <is>
          <t>Re_Prueba_Cierre_E3/04_Regresion_Completa/Sergio/TC-REQ11-001.json; Re_Prueba_Cierre_E3/05_Verificaciones_SQL/TC-REQ11-001.txt · Ciclo 1: Resultados_Newman/Sergio/TC-REQ11-001.json; Logs_Consola_Servidor/Verificaciones_SQL/TC-REQ11-001.txt</t>
        </is>
      </c>
      <c r="M28" s="15" t="inlineStr">
        <is>
          <t>Financiero</t>
        </is>
      </c>
    </row>
    <row r="29" ht="39" customHeight="1" s="13">
      <c r="A29" s="15" t="inlineStr">
        <is>
          <t>TC-REQ11-002</t>
        </is>
      </c>
      <c r="B29" s="15" t="inlineStr">
        <is>
          <t>REQ-11</t>
        </is>
      </c>
      <c r="C29" s="15" t="inlineStr">
        <is>
          <t>Transferencia interna atómica válida</t>
        </is>
      </c>
      <c r="D29" s="15" t="inlineStr">
        <is>
          <t>Transacciones</t>
        </is>
      </c>
      <c r="E29" s="15" t="inlineStr">
        <is>
          <t>Sí</t>
        </is>
      </c>
      <c r="F29" s="15" t="inlineStr">
        <is>
          <t>Sergio Och</t>
        </is>
      </c>
      <c r="G29" s="20" t="n">
        <v>46317</v>
      </c>
      <c r="H29" s="15" t="inlineStr">
        <is>
          <t>HTTP 200; origen queda Q2000 y destino Q1500; se crean TRF_OUT y TRF_IN vinculados; no existe estado intermedio parcial; se registra transferencia y auditoría.</t>
        </is>
      </c>
      <c r="I29" s="21" t="inlineStr">
        <is>
          <t>Ciclo 2 (22/10/2026, build corregida): 1 peticiones, 1 aserciones sin fallo; HTTP 200. Mismo comportamiento que en el ciclo 1: HTTP 200 TRF-a883752f…; origen AH261002000208 3000→2000 y destino AH261002000209 500→1500; TRF_OUT y TRF_IN con la misma referencia; 1 fila en transacciones.transferencias; auditoría TRANSFERENCIA antes/después.</t>
        </is>
      </c>
      <c r="J29" s="21" t="inlineStr">
        <is>
          <t>Pass</t>
        </is>
      </c>
      <c r="K29" s="21" t="inlineStr">
        <is>
          <t>N/A</t>
        </is>
      </c>
      <c r="L29" s="21" t="inlineStr">
        <is>
          <t>Re_Prueba_Cierre_E3/04_Regresion_Completa/Sergio/TC-REQ11-002.json; Re_Prueba_Cierre_E3/05_Verificaciones_SQL/TC-REQ11-002.txt · Ciclo 1: Resultados_Newman/Sergio/TC-REQ11-002.json; Logs_Consola_Servidor/Verificaciones_SQL/TC-REQ11-002.txt</t>
        </is>
      </c>
      <c r="M29" s="15" t="inlineStr">
        <is>
          <t>Financiero</t>
        </is>
      </c>
    </row>
    <row r="30" ht="39" customHeight="1" s="13">
      <c r="A30" s="15" t="inlineStr">
        <is>
          <t>TC-REQ11-003</t>
        </is>
      </c>
      <c r="B30" s="15" t="inlineStr">
        <is>
          <t>REQ-11</t>
        </is>
      </c>
      <c r="C30" s="15" t="inlineStr">
        <is>
          <t>Fallo de validación no deja débito parcial</t>
        </is>
      </c>
      <c r="D30" s="15" t="inlineStr">
        <is>
          <t>Transacciones</t>
        </is>
      </c>
      <c r="E30" s="15" t="inlineStr">
        <is>
          <t>Sí</t>
        </is>
      </c>
      <c r="F30" s="15" t="inlineStr">
        <is>
          <t>Sergio Och</t>
        </is>
      </c>
      <c r="G30" s="20" t="n">
        <v>46317</v>
      </c>
      <c r="H30" s="15" t="inlineStr">
        <is>
          <t>HTTP 422; ambos saldos quedan iguales al valor previo; no aparecen movimientos TRF_OUT/TRF_IN ni transferencia parcial.</t>
        </is>
      </c>
      <c r="I30" s="21" t="inlineStr">
        <is>
          <t>Ciclo 2 (22/10/2026, build corregida): 1 peticiones, 1 aserciones sin fallo; HTTP 422. Mismo comportamiento que en el ciclo 1: HTTP 422 'El retiro dejaria el saldo por debajo del minimo requerido'; AH261002000203 sigue en Q500 y AH261002000209 en Q1500; sin TRF_OUT/TRF_IN ni transferencia parcial.</t>
        </is>
      </c>
      <c r="J30" s="21" t="inlineStr">
        <is>
          <t>Pass</t>
        </is>
      </c>
      <c r="K30" s="21" t="inlineStr">
        <is>
          <t>N/A</t>
        </is>
      </c>
      <c r="L30" s="21" t="inlineStr">
        <is>
          <t>Re_Prueba_Cierre_E3/04_Regresion_Completa/Sergio/TC-REQ11-003.json; Re_Prueba_Cierre_E3/05_Verificaciones_SQL/TC-REQ11-003.txt · Ciclo 1: Resultados_Newman/Sergio/TC-REQ11-003.json; Logs_Consola_Servidor/Verificaciones_SQL/TC-REQ11-003.txt</t>
        </is>
      </c>
      <c r="M30" s="15" t="inlineStr">
        <is>
          <t>Financiero</t>
        </is>
      </c>
    </row>
    <row r="31" ht="26.25" customHeight="1" s="13">
      <c r="A31" s="15" t="inlineStr">
        <is>
          <t>TC-REQ12-001</t>
        </is>
      </c>
      <c r="B31" s="15" t="inlineStr">
        <is>
          <t>REQ-12</t>
        </is>
      </c>
      <c r="C31" s="15" t="inlineStr">
        <is>
          <t>Portal lista únicamente cuentas propias</t>
        </is>
      </c>
      <c r="D31" s="15" t="inlineStr">
        <is>
          <t>Portal del cliente</t>
        </is>
      </c>
      <c r="E31" s="15" t="inlineStr">
        <is>
          <t>Sí</t>
        </is>
      </c>
      <c r="F31" s="15" t="inlineStr">
        <is>
          <t>Walter Rosales</t>
        </is>
      </c>
      <c r="G31" s="20" t="n">
        <v>46317</v>
      </c>
      <c r="H31" s="15" t="inlineStr">
        <is>
          <t>HTTP 200; aparecen solo cuentas cuyo cliente_id corresponde a Cliente A; no se devuelve B1/B2.</t>
        </is>
      </c>
      <c r="I31" s="21" t="inlineStr">
        <is>
          <t>Ciclo 2 (22/10/2026, build corregida): 1 peticiones, 4 aserciones sin fallo; HTTP 200. Mismo comportamiento que en el ciclo 1: HTTP 200: solo cuentas de Ana (AH261002000101..105, MO261002000102 y la AH abierta en TC-REQ06-001); no aparecen AH261002000201 ni MO261002000202.</t>
        </is>
      </c>
      <c r="J31" s="21" t="inlineStr">
        <is>
          <t>Pass</t>
        </is>
      </c>
      <c r="K31" s="21" t="inlineStr">
        <is>
          <t>N/A</t>
        </is>
      </c>
      <c r="L31" s="21" t="inlineStr">
        <is>
          <t>Re_Prueba_Cierre_E3/04_Regresion_Completa/Walter/TC-REQ12-001.json; Re_Prueba_Cierre_E3/05_Verificaciones_SQL/TC-REQ12-001.txt · Ciclo 1: Resultados_Newman/Walter/TC-REQ12-001.json</t>
        </is>
      </c>
      <c r="M31" s="15" t="inlineStr">
        <is>
          <t>—</t>
        </is>
      </c>
    </row>
    <row r="32" ht="26.25" customHeight="1" s="13">
      <c r="A32" s="15" t="inlineStr">
        <is>
          <t>TC-REQ12-002</t>
        </is>
      </c>
      <c r="B32" s="15" t="inlineStr">
        <is>
          <t>REQ-12</t>
        </is>
      </c>
      <c r="C32" s="15" t="inlineStr">
        <is>
          <t>Autorización horizontal en transferencia portal</t>
        </is>
      </c>
      <c r="D32" s="15" t="inlineStr">
        <is>
          <t>Portal del cliente</t>
        </is>
      </c>
      <c r="E32" s="15" t="inlineStr">
        <is>
          <t>Sí</t>
        </is>
      </c>
      <c r="F32" s="15" t="inlineStr">
        <is>
          <t>Walter Rosales</t>
        </is>
      </c>
      <c r="G32" s="20" t="n">
        <v>46317</v>
      </c>
      <c r="H32" s="15" t="inlineStr">
        <is>
          <t>HTTP 403 'La cuenta origen no pertenece al cliente autenticado.' No hay cambios de saldo.</t>
        </is>
      </c>
      <c r="I32" s="21" t="inlineStr">
        <is>
          <t>Ciclo 2 (22/10/2026, build corregida): 1 peticiones, 2 aserciones sin fallo; HTTP 403. Mismo comportamiento que en el ciclo 1: HTTP 403 'La cuenta origen no pertenece al cliente autenticado.'; saldos de AH261002000201 (3000) y MO261002000102 (1500) sin cambio; sin movimientos.</t>
        </is>
      </c>
      <c r="J32" s="21" t="inlineStr">
        <is>
          <t>Pass</t>
        </is>
      </c>
      <c r="K32" s="21" t="inlineStr">
        <is>
          <t>N/A</t>
        </is>
      </c>
      <c r="L32" s="21" t="inlineStr">
        <is>
          <t>Re_Prueba_Cierre_E3/04_Regresion_Completa/Walter/TC-REQ12-002.json; Re_Prueba_Cierre_E3/05_Verificaciones_SQL/TC-REQ12-002.txt · Ciclo 1: Resultados_Newman/Walter/TC-REQ12-002.json; Logs_Consola_Servidor/Verificaciones_SQL/TC-REQ12-002.txt</t>
        </is>
      </c>
      <c r="M32" s="15" t="inlineStr">
        <is>
          <t>Autorización</t>
        </is>
      </c>
    </row>
    <row r="33" ht="39" customHeight="1" s="13">
      <c r="A33" s="15" t="inlineStr">
        <is>
          <t>TC-REQ12-003</t>
        </is>
      </c>
      <c r="B33" s="15" t="inlineStr">
        <is>
          <t>REQ-12</t>
        </is>
      </c>
      <c r="C33" s="15" t="inlineStr">
        <is>
          <t>Límite diario del portal en frontera</t>
        </is>
      </c>
      <c r="D33" s="15" t="inlineStr">
        <is>
          <t>Portal del cliente</t>
        </is>
      </c>
      <c r="E33" s="15" t="inlineStr">
        <is>
          <t>Sí</t>
        </is>
      </c>
      <c r="F33" s="15" t="inlineStr">
        <is>
          <t>Walter Rosales</t>
        </is>
      </c>
      <c r="G33" s="20" t="n">
        <v>46317</v>
      </c>
      <c r="H33" s="15" t="inlineStr">
        <is>
          <t>Q100.00 permitido. Q100.01→HTTP 422 'La transferencia supera el limite diario de la cuenta origen.' El éxito incrementa monto_retirado_hoy.</t>
        </is>
      </c>
      <c r="I33" s="21" t="inlineStr">
        <is>
          <t>Ciclo 2 (22/10/2026, build corregida): 2 peticiones, 3 aserciones sin fallo; HTTP 200, 422. Mismo comportamiento que en el ciclo 1: Q100.00: HTTP 200 (AH261002000104 6000→5900, monto_retirado_hoy 4900→5000, TRF_OUT/TRF_IN). Tras reiniciar fixture, Q100.01: HTTP 422 'La transferencia supera el limite diario de la cuenta origen.' sin movimientos.</t>
        </is>
      </c>
      <c r="J33" s="21" t="inlineStr">
        <is>
          <t>Pass</t>
        </is>
      </c>
      <c r="K33" s="21" t="inlineStr">
        <is>
          <t>N/A</t>
        </is>
      </c>
      <c r="L33" s="21" t="inlineStr">
        <is>
          <t>Re_Prueba_Cierre_E3/04_Regresion_Completa/Walter/TC-REQ12-003_parte1_Q100.00.json; Re_Prueba_Cierre_E3/04_Regresion_Completa/Walter/TC-REQ12-003_parte2_Q100.01.json; Re_Prueba_Cierre_E3/05_Verificaciones_SQL/TC-REQ12-003.txt · Ciclo 1: Resultados_Newman/Walter/TC-REQ12-003_parte1_Q100.00.json, _parte2_Q100.01.json; Logs_Consola_Servidor/Verificaciones_SQL/TC-REQ12-003.txt</t>
        </is>
      </c>
      <c r="M33" s="15" t="inlineStr">
        <is>
          <t>—</t>
        </is>
      </c>
    </row>
    <row r="34" ht="26.25" customHeight="1" s="13">
      <c r="A34" s="15" t="inlineStr">
        <is>
          <t>TC-REQ13-001</t>
        </is>
      </c>
      <c r="B34" s="15" t="inlineStr">
        <is>
          <t>REQ-13</t>
        </is>
      </c>
      <c r="C34" s="15" t="inlineStr">
        <is>
          <t>Código de banco ACH único</t>
        </is>
      </c>
      <c r="D34" s="15" t="inlineStr">
        <is>
          <t>ACH</t>
        </is>
      </c>
      <c r="E34" s="15" t="inlineStr">
        <is>
          <t>No</t>
        </is>
      </c>
      <c r="F34" s="15" t="inlineStr">
        <is>
          <t>Anderson Ariana</t>
        </is>
      </c>
      <c r="G34" s="20" t="n">
        <v>46317</v>
      </c>
      <c r="H34" s="15" t="inlineStr">
        <is>
          <t>Primera creación HTTP 201. Duplicado→HTTP 409 'Ya existe un banco ACH con el mismo codigo.'.</t>
        </is>
      </c>
      <c r="I34" s="21" t="inlineStr">
        <is>
          <t>Ciclo 2 (22/10/2026, build corregida): 2 peticiones, 3 aserciones sin fallo; HTTP 201, 409. Mismo comportamiento que en el ciclo 1: Crear QA_NEXUS: HTTP 201 (id 6ad6ba31…); duplicado: HTTP 409 'Ya existe un banco ACH con el mismo codigo.' Un solo documento en Mongo.</t>
        </is>
      </c>
      <c r="J34" s="21" t="inlineStr">
        <is>
          <t>Pass</t>
        </is>
      </c>
      <c r="K34" s="21" t="inlineStr">
        <is>
          <t>N/A</t>
        </is>
      </c>
      <c r="L34" s="21" t="inlineStr">
        <is>
          <t>Re_Prueba_Cierre_E3/04_Regresion_Completa/Anderson/TC-REQ13-001.json; Re_Prueba_Cierre_E3/05_Verificaciones_SQL/TC-REQ13-001.txt · Ciclo 1: Resultados_Newman/Anderson/TC-REQ13-001.json; Logs_Consola_Servidor/Verificaciones_SQL/TC-REQ13.txt</t>
        </is>
      </c>
      <c r="M34" s="15" t="inlineStr">
        <is>
          <t>—</t>
        </is>
      </c>
    </row>
    <row r="35" ht="26.25" customHeight="1" s="13">
      <c r="A35" s="15" t="inlineStr">
        <is>
          <t>TC-REQ13-002</t>
        </is>
      </c>
      <c r="B35" s="15" t="inlineStr">
        <is>
          <t>REQ-13</t>
        </is>
      </c>
      <c r="C35" s="15" t="inlineStr">
        <is>
          <t>Banco ACH inactivo no es utilizable</t>
        </is>
      </c>
      <c r="D35" s="15" t="inlineStr">
        <is>
          <t>ACH</t>
        </is>
      </c>
      <c r="E35" s="15" t="inlineStr">
        <is>
          <t>No</t>
        </is>
      </c>
      <c r="F35" s="15" t="inlineStr">
        <is>
          <t>Anderson Ariana</t>
        </is>
      </c>
      <c r="G35" s="20" t="n">
        <v>46317</v>
      </c>
      <c r="H35" s="15" t="inlineStr">
        <is>
          <t>No aparece en listado de activos; operación ACH→HTTP 422 'El banco ACH seleccionado esta inactivo.'</t>
        </is>
      </c>
      <c r="I35" s="21" t="inlineStr">
        <is>
          <t>Ciclo 2 (22/10/2026, build corregida): 3 peticiones, 5 aserciones sin fallo; HTTP 200, 200, 422. Mismo comportamiento que en el ciclo 1: PATCH activo=false: HTTP 200; GET /activos: HTTP 200 sin QA_NEXUS; validar destino con banco inactivo: HTTP 422 'El banco ACH seleccionado esta inactivo.' Re-verificación de BUG-NEX-01: /api/ach/bancos/activos sin token responde 200 (fuera del oráculo de este caso).</t>
        </is>
      </c>
      <c r="J35" s="21" t="inlineStr">
        <is>
          <t>Pass</t>
        </is>
      </c>
      <c r="K35" s="21" t="inlineStr">
        <is>
          <t>N/A</t>
        </is>
      </c>
      <c r="L35" s="21" t="inlineStr">
        <is>
          <t>Re_Prueba_Cierre_E3/04_Regresion_Completa/Anderson/TC-REQ13-002.json; Re_Prueba_Cierre_E3/05_Verificaciones_SQL/TC-REQ13-002.txt · Ciclo 1: Resultados_Newman/Anderson/TC-REQ13-002.json; Logs_Consola_Servidor/Verificaciones_SQL/TC-REQ13.txt</t>
        </is>
      </c>
      <c r="M35" s="15" t="inlineStr">
        <is>
          <t>—</t>
        </is>
      </c>
    </row>
    <row r="36" ht="39" customHeight="1" s="13">
      <c r="A36" s="15" t="inlineStr">
        <is>
          <t>TC-REQ14-001</t>
        </is>
      </c>
      <c r="B36" s="15" t="inlineStr">
        <is>
          <t>REQ-14</t>
        </is>
      </c>
      <c r="C36" s="15" t="inlineStr">
        <is>
          <t>Transferencia ACH saliente válida</t>
        </is>
      </c>
      <c r="D36" s="15" t="inlineStr">
        <is>
          <t>ACH</t>
        </is>
      </c>
      <c r="E36" s="15" t="inlineStr">
        <is>
          <t>Sí</t>
        </is>
      </c>
      <c r="F36" s="15" t="inlineStr">
        <is>
          <t>Anderson Ariana</t>
        </is>
      </c>
      <c r="G36" s="20" t="n">
        <v>46317</v>
      </c>
      <c r="H36" s="15" t="inlineStr">
        <is>
          <t>HTTP 200; estadoNombre ENVIADA o PENDIENTE según respuesta externa; genera códigoConfirmacion; débito local se refleja una sola vez y transferencia queda consultable.</t>
        </is>
      </c>
      <c r="I36" s="21" t="inlineStr">
        <is>
          <t>Ciclo 2 (22/10/2026, build corregida): 4 peticiones, 5 aserciones sin fallo; HTTP 200, 200, 200, 200. Mismo comportamiento que en el ciclo 1: Reactivar banco 200; validar destino EXT-QA-0001: 200 'Cuenta sintetica encontrada.'; enviar Q15: HTTP 200 estadoNombre ENVIADA, codigoConfirmacion TRX-20261019-000001; AH261002000101 7010→6995 (un solo ACH_OUT), historial ACH 200; auditoría ACH.</t>
        </is>
      </c>
      <c r="J36" s="21" t="inlineStr">
        <is>
          <t>Pass</t>
        </is>
      </c>
      <c r="K36" s="21" t="inlineStr">
        <is>
          <t>N/A</t>
        </is>
      </c>
      <c r="L36" s="21" t="inlineStr">
        <is>
          <t>Re_Prueba_Cierre_E3/04_Regresion_Completa/Anderson/TC-REQ14-001.json; Re_Prueba_Cierre_E3/05_Verificaciones_SQL/TC-REQ14-001.txt · Ciclo 1: Resultados_Newman/Anderson/TC-REQ14-001.json; Logs_Consola_Servidor/Verificaciones_SQL/TC-REQ14-001.txt</t>
        </is>
      </c>
      <c r="M36" s="15" t="inlineStr">
        <is>
          <t>—</t>
        </is>
      </c>
    </row>
    <row r="37" ht="51.75" customHeight="1" s="13">
      <c r="A37" s="15" t="inlineStr">
        <is>
          <t>TC-REQ14-002</t>
        </is>
      </c>
      <c r="B37" s="15" t="inlineStr">
        <is>
          <t>REQ-14</t>
        </is>
      </c>
      <c r="C37" s="15" t="inlineStr">
        <is>
          <t>ACH rechazada por banco inactivo o saldo insuficiente</t>
        </is>
      </c>
      <c r="D37" s="15" t="inlineStr">
        <is>
          <t>ACH</t>
        </is>
      </c>
      <c r="E37" s="15" t="inlineStr">
        <is>
          <t>Sí</t>
        </is>
      </c>
      <c r="F37" s="15" t="inlineStr">
        <is>
          <t>Anderson Ariana</t>
        </is>
      </c>
      <c r="G37" s="20" t="n">
        <v>46317</v>
      </c>
      <c r="H37" s="15" t="inlineStr">
        <is>
          <t>Banco inactivo→422 'El banco ACH seleccionado esta inactivo.'. Saldo insuficiente→422 'Saldo disponible insuficiente para completar la transferencia ACH.'. No se reporta éxito silencioso.</t>
        </is>
      </c>
      <c r="I37" s="21" t="inlineStr">
        <is>
          <t>Ciclo 2 (22/10/2026, build corregida): 4 peticiones, 6 aserciones sin fallo; HTTP 200, 422, 200, 422. Mismo comportamiento que en el ciclo 1: Banco inactivo: HTTP 422 'El banco ACH seleccionado esta inactivo.'; Q1500.01 desde MO261002000102: HTTP 422 'Saldo disponible insuficiente para completar la transferencia ACH.' Sin débitos ni filas en ach.transferencias.</t>
        </is>
      </c>
      <c r="J37" s="21" t="inlineStr">
        <is>
          <t>Pass</t>
        </is>
      </c>
      <c r="K37" s="21" t="inlineStr">
        <is>
          <t>N/A</t>
        </is>
      </c>
      <c r="L37" s="21" t="inlineStr">
        <is>
          <t>Re_Prueba_Cierre_E3/04_Regresion_Completa/Anderson/TC-REQ14-002.json; Re_Prueba_Cierre_E3/05_Verificaciones_SQL/TC-REQ14-002.txt · Ciclo 1: Resultados_Newman/Anderson/TC-REQ14-002.json; Logs_Consola_Servidor/Verificaciones_SQL/TC-REQ14-002.txt</t>
        </is>
      </c>
      <c r="M37" s="15" t="inlineStr">
        <is>
          <t>—</t>
        </is>
      </c>
    </row>
    <row r="38" ht="39" customHeight="1" s="13">
      <c r="A38" s="15" t="inlineStr">
        <is>
          <t>TC-REQ14-003</t>
        </is>
      </c>
      <c r="B38" s="15" t="inlineStr">
        <is>
          <t>REQ-14</t>
        </is>
      </c>
      <c r="C38" s="15" t="inlineStr">
        <is>
          <t>ACH respeta límite diario</t>
        </is>
      </c>
      <c r="D38" s="15" t="inlineStr">
        <is>
          <t>ACH</t>
        </is>
      </c>
      <c r="E38" s="15" t="inlineStr">
        <is>
          <t>Sí</t>
        </is>
      </c>
      <c r="F38" s="15" t="inlineStr">
        <is>
          <t>Anderson Ariana</t>
        </is>
      </c>
      <c r="G38" s="20" t="n">
        <v>46317</v>
      </c>
      <c r="H38" s="15" t="inlineStr">
        <is>
          <t>Q10.00 puede continuar. Q10.01→HTTP 422 'La transferencia ACH supera el limite diario de la cuenta origen.' H-04 permanece abierto para timeout/reintento/compensación.</t>
        </is>
      </c>
      <c r="I38" s="21" t="inlineStr">
        <is>
          <t>Ciclo 2 (22/10/2026, build corregida): 2 peticiones, 3 aserciones sin fallo; HTTP 200, 422. Mismo comportamiento que en el ciclo 1: Q10.00: HTTP 200 ENVIADA (AH261002000105 8000→7990, retirado hoy 4990→5000). Tras reiniciar fixture y reabrir caja, Q10.01: HTTP 422 'La transferencia ACH supera el limite diario de la cuenta origen.' sin débito. (Primer intento sin caja abierta descartado por precondición: 403.)</t>
        </is>
      </c>
      <c r="J38" s="21" t="inlineStr">
        <is>
          <t>Pass</t>
        </is>
      </c>
      <c r="K38" s="21" t="inlineStr">
        <is>
          <t>N/A</t>
        </is>
      </c>
      <c r="L38" s="21" t="inlineStr">
        <is>
          <t>Re_Prueba_Cierre_E3/04_Regresion_Completa/Anderson/TC-REQ14-003_parte1_Q10.00.json; Re_Prueba_Cierre_E3/04_Regresion_Completa/Anderson/TC-REQ14-003_parte2_Q10.01.json; Re_Prueba_Cierre_E3/05_Verificaciones_SQL/TC-REQ14-003.txt · Ciclo 1: Resultados_Newman/Anderson/TC-REQ14-003_parte1_Q10.00.json, _parte2_Q10.01.json; Logs_Consola_Servidor/Verificaciones_SQL/TC-REQ14-003.txt</t>
        </is>
      </c>
      <c r="M38" s="15" t="inlineStr">
        <is>
          <t>—</t>
        </is>
      </c>
    </row>
    <row r="39" ht="39" customHeight="1" s="13">
      <c r="A39" s="15" t="inlineStr">
        <is>
          <t>TC-REQ17-001</t>
        </is>
      </c>
      <c r="B39" s="15" t="inlineStr">
        <is>
          <t>REQ-17</t>
        </is>
      </c>
      <c r="C39" s="15" t="inlineStr">
        <is>
          <t>Login de banco externo autorizado</t>
        </is>
      </c>
      <c r="D39" s="15" t="inlineStr">
        <is>
          <t>ACH</t>
        </is>
      </c>
      <c r="E39" s="15" t="inlineStr">
        <is>
          <t>Sí</t>
        </is>
      </c>
      <c r="F39" s="15" t="inlineStr">
        <is>
          <t>Anderson Ariana</t>
        </is>
      </c>
      <c r="G39" s="20" t="n">
        <v>46317</v>
      </c>
      <c r="H39" s="15" t="inlineStr">
        <is>
          <t>HTTP 200; devuelve accessToken, tokenType='Bearer' y expiración. Usuario sin rol/permisos recibe HTTP 403 'El usuario no esta autorizado para operar como banco externo.'</t>
        </is>
      </c>
      <c r="I39" s="21" t="inlineStr">
        <is>
          <t>Ciclo 2 (22/10/2026, build corregida): 2 peticiones, 4 aserciones sin fallo; HTTP 200, 403. Mismo comportamiento que en el ciclo 1: qa.banco.externo: HTTP 200 accessToken, tokenType 'Bearer', expiresAt; Ana sin rol: HTTP 403 'El usuario no esta autorizado para operar como banco externo.'</t>
        </is>
      </c>
      <c r="J39" s="21" t="inlineStr">
        <is>
          <t>Pass</t>
        </is>
      </c>
      <c r="K39" s="21" t="inlineStr">
        <is>
          <t>N/A</t>
        </is>
      </c>
      <c r="L39" s="21" t="inlineStr">
        <is>
          <t>Re_Prueba_Cierre_E3/04_Regresion_Completa/Anderson/TC-REQ17-001.json; Re_Prueba_Cierre_E3/05_Verificaciones_SQL/TC-REQ17-001.txt · Ciclo 1: Resultados_Newman/Anderson/TC-REQ17-001.json</t>
        </is>
      </c>
      <c r="M39" s="15" t="inlineStr">
        <is>
          <t>—</t>
        </is>
      </c>
    </row>
    <row r="40" ht="26.25" customHeight="1" s="13">
      <c r="A40" s="15" t="inlineStr">
        <is>
          <t>TC-REQ17-002</t>
        </is>
      </c>
      <c r="B40" s="15" t="inlineStr">
        <is>
          <t>REQ-17</t>
        </is>
      </c>
      <c r="C40" s="15" t="inlineStr">
        <is>
          <t>Permiso externo obligatorio en PublicAPI</t>
        </is>
      </c>
      <c r="D40" s="15" t="inlineStr">
        <is>
          <t>ACH</t>
        </is>
      </c>
      <c r="E40" s="15" t="inlineStr">
        <is>
          <t>Sí</t>
        </is>
      </c>
      <c r="F40" s="15" t="inlineStr">
        <is>
          <t>Anderson Ariana</t>
        </is>
      </c>
      <c r="G40" s="20" t="n">
        <v>46317</v>
      </c>
      <c r="H40" s="15" t="inlineStr">
        <is>
          <t>HTTP 403 en el endpoint cuyo permiso falte; no se consulta/acredita cuenta por bypass de URL.</t>
        </is>
      </c>
      <c r="I40" s="21" t="inlineStr">
        <is>
          <t>Ciclo 2 (22/10/2026, build corregida): 3 peticiones, 3 aserciones sin fallo; HTTP 200, 403, 403. Mismo comportamiento que en el ciclo 1: Con permisos retirados (bloque SQL): login 200; búsqueda de cuenta: HTTP 403; transferencia entrante: HTTP 403. Saldo de AH261002000101 sin cambio y 0 filas en ach.transferencias_entrantes; permisos restaurados.</t>
        </is>
      </c>
      <c r="J40" s="21" t="inlineStr">
        <is>
          <t>Pass</t>
        </is>
      </c>
      <c r="K40" s="21" t="inlineStr">
        <is>
          <t>N/A</t>
        </is>
      </c>
      <c r="L40" s="21" t="inlineStr">
        <is>
          <t>Re_Prueba_Cierre_E3/04_Regresion_Completa/Anderson/TC-REQ17-002.json; Re_Prueba_Cierre_E3/05_Verificaciones_SQL/TC-REQ17-002.txt · Ciclo 1: Resultados_Newman/Anderson/TC-REQ17-002.json; Logs_Consola_Servidor/Verificaciones_SQL/TC-REQ17-002.txt</t>
        </is>
      </c>
      <c r="M40" s="15" t="inlineStr">
        <is>
          <t>Autorización</t>
        </is>
      </c>
    </row>
    <row r="41" ht="51.75" customHeight="1" s="13">
      <c r="A41" s="15" t="inlineStr">
        <is>
          <t>TC-REQ17-003</t>
        </is>
      </c>
      <c r="B41" s="15" t="inlineStr">
        <is>
          <t>REQ-17</t>
        </is>
      </c>
      <c r="C41" s="15" t="inlineStr">
        <is>
          <t>ACH entrante idempotente por código de confirmación</t>
        </is>
      </c>
      <c r="D41" s="15" t="inlineStr">
        <is>
          <t>ACH</t>
        </is>
      </c>
      <c r="E41" s="15" t="inlineStr">
        <is>
          <t>Sí</t>
        </is>
      </c>
      <c r="F41" s="15" t="inlineStr">
        <is>
          <t>Anderson Ariana</t>
        </is>
      </c>
      <c r="G41" s="20" t="n">
        <v>46317</v>
      </c>
      <c r="H41" s="15" t="inlineStr">
        <is>
          <t>Primera: HTTP 201, estado APROBADA y saldo destino acreditado una vez. Repetición: HTTP 409 'La transferencia ya fue procesada.' y error codigo_confirmacion='El codigo de confirmacion ya existe.'; no duplica fondos.</t>
        </is>
      </c>
      <c r="I41" s="21" t="inlineStr">
        <is>
          <t>Ciclo 2 (22/10/2026, build corregida): 2 peticiones, 4 aserciones sin fallo; HTTP 201, 409. Mismo comportamiento que en el ciclo 1: 1.ª: HTTP 201 'Transferencia recibida correctamente.' estado APROBADA; AH261002000101 7000→7500 (un ACH_IN). Repetición: HTTP 409 'La transferencia ya fue procesada.' con errors.codigo_confirmacion 'El codigo de confirmacion ya existe.'; saldo sigue 7500.</t>
        </is>
      </c>
      <c r="J41" s="21" t="inlineStr">
        <is>
          <t>Pass</t>
        </is>
      </c>
      <c r="K41" s="21" t="inlineStr">
        <is>
          <t>N/A</t>
        </is>
      </c>
      <c r="L41" s="21" t="inlineStr">
        <is>
          <t>Re_Prueba_Cierre_E3/04_Regresion_Completa/Anderson/TC-REQ17-003.json; Re_Prueba_Cierre_E3/05_Verificaciones_SQL/TC-REQ17-003.txt · Ciclo 1: Resultados_Newman/Anderson/TC-REQ17-003.json; Logs_Consola_Servidor/Verificaciones_SQL/TC-REQ17-003.txt</t>
        </is>
      </c>
      <c r="M41" s="15" t="inlineStr">
        <is>
          <t>—</t>
        </is>
      </c>
    </row>
    <row r="42" ht="51.75" customHeight="1" s="13">
      <c r="A42" s="15" t="inlineStr">
        <is>
          <t>TC-REQ15-001</t>
        </is>
      </c>
      <c r="B42" s="15" t="inlineStr">
        <is>
          <t>REQ-15</t>
        </is>
      </c>
      <c r="C42" s="15" t="inlineStr">
        <is>
          <t>Eventos de login fallido y bloqueo quedan trazables</t>
        </is>
      </c>
      <c r="D42" s="15" t="inlineStr">
        <is>
          <t>Auditoría y reportes</t>
        </is>
      </c>
      <c r="E42" s="15" t="inlineStr">
        <is>
          <t>No</t>
        </is>
      </c>
      <c r="F42" s="15" t="inlineStr">
        <is>
          <t>Luis Contreras</t>
        </is>
      </c>
      <c r="G42" s="20" t="n">
        <v>46317</v>
      </c>
      <c r="H42" s="15" t="inlineStr">
        <is>
          <t>Existe evento LOGIN_FALLIDO con identificador, IP/UserAgent cuando estén disponibles y resultado fallido; al bloquear se registra evento de usuario bloqueado. No se almacena contraseña/token en texto como evidencia.</t>
        </is>
      </c>
      <c r="I42" s="21" t="inlineStr">
        <is>
          <t>Ciclo 2 (22/10/2026, build corregida): 7 peticiones, 10 aserciones sin fallo; HTTP 401, 401, 401, 401, 401, 200, 200. Mismo comportamiento que en el ciclo 1: 5 logins fallidos (401) y bloqueo; GET eventos: LOGIN_FALLIDO con usuarioId, usernameIntentado, IP 172.22.0.1, UserAgent y exitoso=false; USUARIO_BLOQUEADO registrado. Ningún evento contiene la contraseña.</t>
        </is>
      </c>
      <c r="J42" s="21" t="inlineStr">
        <is>
          <t>Pass</t>
        </is>
      </c>
      <c r="K42" s="21" t="inlineStr">
        <is>
          <t>N/A</t>
        </is>
      </c>
      <c r="L42" s="21" t="inlineStr">
        <is>
          <t>Re_Prueba_Cierre_E3/04_Regresion_Completa/Luis/TC-REQ15-001.json; Re_Prueba_Cierre_E3/05_Verificaciones_SQL/TC-REQ15-001.txt · Ciclo 1: Resultados_Newman/Luis/TC-REQ15-001.json; Logs_Consola_Servidor/Verificaciones_SQL/TC-REQ15-001.txt</t>
        </is>
      </c>
      <c r="M42" s="15" t="inlineStr">
        <is>
          <t>—</t>
        </is>
      </c>
    </row>
    <row r="43" ht="39" customHeight="1" s="13">
      <c r="A43" s="15" t="inlineStr">
        <is>
          <t>TC-REQ15-002</t>
        </is>
      </c>
      <c r="B43" s="15" t="inlineStr">
        <is>
          <t>REQ-15</t>
        </is>
      </c>
      <c r="C43" s="15" t="inlineStr">
        <is>
          <t>Operación financiera genera auditoría de antes/después</t>
        </is>
      </c>
      <c r="D43" s="15" t="inlineStr">
        <is>
          <t>Auditoría y reportes</t>
        </is>
      </c>
      <c r="E43" s="15" t="inlineStr">
        <is>
          <t>No</t>
        </is>
      </c>
      <c r="F43" s="15" t="inlineStr">
        <is>
          <t>Luis Contreras</t>
        </is>
      </c>
      <c r="G43" s="20" t="n">
        <v>46317</v>
      </c>
      <c r="H43" s="15" t="inlineStr">
        <is>
          <t>Existe registro del módulo TRANSACCIONES con acción correspondiente, entidad CUENTA, datos_antes/datos_despues y resultado EXITOSO coherente con el saldo real.</t>
        </is>
      </c>
      <c r="I43" s="21" t="inlineStr">
        <is>
          <t>Ciclo 2 (22/10/2026, build corregida): 2 peticiones, 2 aserciones sin fallo; HTTP 200, 200. Mismo comportamiento que en el ciclo 1: Depósito Q100 y transferencia Q50: HTTP 200. auditoria.log_operaciones: TRANSACCIONES/DEPOSITO y TRANSFERENCIA, entidad CUENTA, datos_antes/después (7500→7600; 7600/500→7550/550) y EXITOSO, coherentes con el saldo real. Observación: usuario_id vacío (OBS-E3-03).</t>
        </is>
      </c>
      <c r="J43" s="21" t="inlineStr">
        <is>
          <t>Pass</t>
        </is>
      </c>
      <c r="K43" s="21" t="inlineStr">
        <is>
          <t>N/A</t>
        </is>
      </c>
      <c r="L43" s="21" t="inlineStr">
        <is>
          <t>Re_Prueba_Cierre_E3/04_Regresion_Completa/Luis/TC-REQ15-002.json; Re_Prueba_Cierre_E3/05_Verificaciones_SQL/TC-REQ15-002.txt · Ciclo 1: Resultados_Newman/Luis/TC-REQ15-002.json; Logs_Consola_Servidor/Verificaciones_SQL/TC-REQ15-002.txt</t>
        </is>
      </c>
      <c r="M43" s="15" t="inlineStr">
        <is>
          <t>—</t>
        </is>
      </c>
    </row>
    <row r="44" ht="51.75" customHeight="1" s="13">
      <c r="A44" s="15" t="inlineStr">
        <is>
          <t>TC-REQ16-001</t>
        </is>
      </c>
      <c r="B44" s="15" t="inlineStr">
        <is>
          <t>REQ-16</t>
        </is>
      </c>
      <c r="C44" s="15" t="inlineStr">
        <is>
          <t>Reporte resumen coincide con dataset controlado</t>
        </is>
      </c>
      <c r="D44" s="15" t="inlineStr">
        <is>
          <t>Auditoría y reportes</t>
        </is>
      </c>
      <c r="E44" s="15" t="inlineStr">
        <is>
          <t>No</t>
        </is>
      </c>
      <c r="F44" s="15" t="inlineStr">
        <is>
          <t>Luis Contreras</t>
        </is>
      </c>
      <c r="G44" s="20" t="n">
        <v>46317</v>
      </c>
      <c r="H44" s="15" t="inlineStr">
        <is>
          <t>Campos totalClientes/clientesActivos/clientesEnRevision, totalCuentas/cuentasActivas/saldoTotal, transferencias y ACH deben coincidir exactamente con el fixture y las consultas SQL del servicio.</t>
        </is>
      </c>
      <c r="I44" s="21" t="inlineStr">
        <is>
          <t>Ciclo 2 (22/10/2026, build corregida): 3 peticiones, 14 aserciones sin fallo; HTTP 200, 201, 200. Oráculo de 11 totales: totalClientes 2, activos 1, en revisión 1, cuentas 3/2, saldo Q4000.00, 1 transferencia interna Q200, totalAch 1, achAprobadas 1, montoAch Q25 (ciclo 1: achAprobadas 0 y montoAch 0, BUG-NEX-02).</t>
        </is>
      </c>
      <c r="J44" s="21" t="inlineStr">
        <is>
          <t>Pass</t>
        </is>
      </c>
      <c r="K44" s="21" t="inlineStr">
        <is>
          <t>BUG-NEX-02 (cerrado 22/10/2026)</t>
        </is>
      </c>
      <c r="L44" s="21" t="inlineStr">
        <is>
          <t>Re_Prueba_Cierre_E3/03_Re_Prueba_Defectos/BUG-NEX-02/TC-REQ16-001.json; Re_Prueba_Cierre_E3/03_Re_Prueba_Defectos/BUG-NEX-02/TC-REQ16-001_REP01.txt · Ciclo 1: Resultados_Newman/Luis/TC-REQ16-001.json; Capturas_Bugs/Evidencia_BUG02_Luis.png; Logs_Consola_Servidor/Verificaciones_SQL/TC-REQ16-001_REP01.txt</t>
        </is>
      </c>
      <c r="M44" s="15" t="inlineStr">
        <is>
          <t>—</t>
        </is>
      </c>
    </row>
    <row r="45" ht="26.25" customHeight="1" s="13">
      <c r="A45" s="15" t="inlineStr">
        <is>
          <t>TC-REQ16-002</t>
        </is>
      </c>
      <c r="B45" s="15" t="inlineStr">
        <is>
          <t>REQ-16</t>
        </is>
      </c>
      <c r="C45" s="15" t="inlineStr">
        <is>
          <t>Reporte requiere permiso reportes.ver</t>
        </is>
      </c>
      <c r="D45" s="15" t="inlineStr">
        <is>
          <t>Auditoría y reportes</t>
        </is>
      </c>
      <c r="E45" s="15" t="inlineStr">
        <is>
          <t>No</t>
        </is>
      </c>
      <c r="F45" s="15" t="inlineStr">
        <is>
          <t>Luis Contreras</t>
        </is>
      </c>
      <c r="G45" s="20" t="n">
        <v>46317</v>
      </c>
      <c r="H45" s="15" t="inlineStr">
        <is>
          <t>Sin permiso→HTTP 403 sin datos del reporte. Con permiso→HTTP 200.</t>
        </is>
      </c>
      <c r="I45" s="21" t="inlineStr">
        <is>
          <t>Ciclo 2 (22/10/2026, build corregida): 2 peticiones, 2 aserciones sin fallo; HTTP 403, 200. Mismo comportamiento que en el ciclo 1: qa_cajero (sin reportes.ver): HTTP 403 sin cuerpo; qa_admin: HTTP 200 con el resumen.</t>
        </is>
      </c>
      <c r="J45" s="21" t="inlineStr">
        <is>
          <t>Pass</t>
        </is>
      </c>
      <c r="K45" s="21" t="inlineStr">
        <is>
          <t>N/A</t>
        </is>
      </c>
      <c r="L45" s="21" t="inlineStr">
        <is>
          <t>Re_Prueba_Cierre_E3/04_Regresion_Completa/Luis/TC-REQ16-002.json; Re_Prueba_Cierre_E3/05_Verificaciones_SQL/TC-REQ16-002.txt · Ciclo 1: Resultados_Newman/Luis/TC-REQ16-002.json</t>
        </is>
      </c>
      <c r="M45" s="15" t="inlineStr">
        <is>
          <t>Autorización</t>
        </is>
      </c>
    </row>
    <row r="46" ht="51.75" customHeight="1" s="13">
      <c r="A46" s="15" t="inlineStr">
        <is>
          <t>TC-REQ18-001</t>
        </is>
      </c>
      <c r="B46" s="15" t="inlineStr">
        <is>
          <t>REQ-18</t>
        </is>
      </c>
      <c r="C46" s="15" t="inlineStr">
        <is>
          <t>Operación bloqueada si usuario no tiene empleado activo</t>
        </is>
      </c>
      <c r="D46" s="15" t="inlineStr">
        <is>
          <t>Dependencias de datos</t>
        </is>
      </c>
      <c r="E46" s="15" t="inlineStr">
        <is>
          <t>No</t>
        </is>
      </c>
      <c r="F46" s="15" t="inlineStr">
        <is>
          <t>Sergio Och</t>
        </is>
      </c>
      <c r="G46" s="20" t="n">
        <v>46317</v>
      </c>
      <c r="H46" s="15" t="inlineStr">
        <is>
          <t>Caja→HTTP 422 'El usuario autenticado no tiene un empleado activo asociado.'. Apertura de cuenta→HTTP 422 con el mismo criterio de empleado activo. No se crean registros dependientes.</t>
        </is>
      </c>
      <c r="I46" s="21" t="inlineStr">
        <is>
          <t>Ciclo 2 (22/10/2026, build corregida): 2 peticiones, 4 aserciones sin fallo; HTTP 422, 422. Mismo comportamiento que en el ciclo 1: Abrir caja y abrir cuenta con qa_sin_empleado: HTTP 422 'El usuario autenticado no tiene un empleado activo asociado.' en ambas; 0 sesiones de caja y 0 cuentas nuevas.</t>
        </is>
      </c>
      <c r="J46" s="21" t="inlineStr">
        <is>
          <t>Pass</t>
        </is>
      </c>
      <c r="K46" s="21" t="inlineStr">
        <is>
          <t>N/A</t>
        </is>
      </c>
      <c r="L46" s="21" t="inlineStr">
        <is>
          <t>Re_Prueba_Cierre_E3/04_Regresion_Completa/Sergio/TC-REQ18-001.json; Re_Prueba_Cierre_E3/05_Verificaciones_SQL/TC-REQ18-001.txt · Ciclo 1: Resultados_Newman/Sergio/TC-REQ18-001.json; Logs_Consola_Servidor/Verificaciones_SQL/TC-REQ18-001.txt</t>
        </is>
      </c>
      <c r="M46" s="15" t="inlineStr">
        <is>
          <t>—</t>
        </is>
      </c>
    </row>
    <row r="47" ht="51.75" customHeight="1" s="13">
      <c r="A47" s="15" t="inlineStr">
        <is>
          <t>TC-REQ18-002</t>
        </is>
      </c>
      <c r="B47" s="15" t="inlineStr">
        <is>
          <t>REQ-18</t>
        </is>
      </c>
      <c r="C47" s="15" t="inlineStr">
        <is>
          <t>Dependencias de catálogo/plan contable determinan readiness</t>
        </is>
      </c>
      <c r="D47" s="15" t="inlineStr">
        <is>
          <t>Dependencias de datos</t>
        </is>
      </c>
      <c r="E47" s="15" t="inlineStr">
        <is>
          <t>No</t>
        </is>
      </c>
      <c r="F47" s="15" t="inlineStr">
        <is>
          <t>Sergio Och</t>
        </is>
      </c>
      <c r="G47" s="20" t="n">
        <v>46317</v>
      </c>
      <c r="H47" s="15" t="inlineStr">
        <is>
          <t>Con seeds válidos el flujo continúa. Si falta cuenta contable requerida, depósito/retiro falla 422 con mensaje 'No existe cuenta contable activa con codigo ...'. Se clasifica como fallo de ambiente, no como defecto del caso funcional.</t>
        </is>
      </c>
      <c r="I47" s="21" t="inlineStr">
        <is>
          <t>Ciclo 2 (22/10/2026, build corregida): 3 peticiones, 4 aserciones sin fallo; HTTP 422, 200, 422. Mismo comportamiento que en el ciclo 1: Plan completo: depósito Q10 HTTP 200 con asientos DB 1101 / CR 2101. Con 1101 inactiva: HTTP 422 'No existe cuenta contable activa con codigo 1101 en contabilidad.plan_cuentas.' sin movimiento; 1101 restaurada.</t>
        </is>
      </c>
      <c r="J47" s="21" t="inlineStr">
        <is>
          <t>Pass</t>
        </is>
      </c>
      <c r="K47" s="21" t="inlineStr">
        <is>
          <t>N/A</t>
        </is>
      </c>
      <c r="L47" s="21" t="inlineStr">
        <is>
          <t>Re_Prueba_Cierre_E3/04_Regresion_Completa/Sergio/TC-REQ18-002_parte1_plan_completo.json; Re_Prueba_Cierre_E3/04_Regresion_Completa/Sergio/TC-REQ18-002_parte2_1101_inactiva.json; Re_Prueba_Cierre_E3/05_Verificaciones_SQL/TC-REQ18-002.txt · Ciclo 1: Resultados_Newman/Sergio/TC-REQ18-002_parte1_plan_completo.json, _parte2_1101_inactiva.json; Logs_Consola_Servidor/Verificaciones_SQL/TC-REQ18-002.txt</t>
        </is>
      </c>
      <c r="M47" s="15" t="inlineStr">
        <is>
          <t>—</t>
        </is>
      </c>
    </row>
  </sheetData>
  <dataValidations count="1">
    <dataValidation sqref="J2:J47" showDropDown="0" showInputMessage="0" showErrorMessage="0" allowBlank="0" type="list" errorStyle="stop" operator="between">
      <formula1>"Pass,Fail,Blocked,Skipped,Pendiente"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M47"/>
  <sheetViews>
    <sheetView workbookViewId="0">
      <selection activeCell="A1" sqref="A1"/>
    </sheetView>
  </sheetViews>
  <sheetFormatPr baseColWidth="8" defaultColWidth="8.6796875" defaultRowHeight="15" zeroHeight="0" outlineLevelRow="0"/>
  <cols>
    <col width="15" customWidth="1" style="12" min="1" max="1"/>
    <col width="9" customWidth="1" style="12" min="2" max="2"/>
    <col width="34" customWidth="1" style="12" min="3" max="3"/>
    <col width="20" customWidth="1" style="12" min="4" max="4"/>
    <col width="6" customWidth="1" style="12" min="5" max="5"/>
    <col width="20" customWidth="1" style="12" min="6" max="6"/>
    <col width="14" customWidth="1" style="12" min="7" max="7"/>
    <col width="60" customWidth="1" style="12" min="8" max="8"/>
    <col width="50" customWidth="1" style="12" min="9" max="9"/>
    <col width="14" customWidth="1" style="12" min="10" max="10"/>
    <col width="16" customWidth="1" style="12" min="11" max="11"/>
    <col width="30" customWidth="1" style="12" min="12" max="12"/>
    <col width="16" customWidth="1" style="12" min="13" max="13"/>
  </cols>
  <sheetData>
    <row r="1" ht="26.25" customHeight="1" s="13">
      <c r="A1" s="18" t="inlineStr">
        <is>
          <t>ID_Caso</t>
        </is>
      </c>
      <c r="B1" s="18" t="inlineStr">
        <is>
          <t>ID_REQ</t>
        </is>
      </c>
      <c r="C1" s="18" t="inlineStr">
        <is>
          <t>Nombre_del_Caso</t>
        </is>
      </c>
      <c r="D1" s="18" t="inlineStr">
        <is>
          <t>Modulo</t>
        </is>
      </c>
      <c r="E1" s="18" t="inlineStr">
        <is>
          <t>P1</t>
        </is>
      </c>
      <c r="F1" s="18" t="inlineStr">
        <is>
          <t>Especialista_QA_Ejecutor</t>
        </is>
      </c>
      <c r="G1" s="18" t="inlineStr">
        <is>
          <t>Fecha_Ejecucion</t>
        </is>
      </c>
      <c r="H1" s="18" t="inlineStr">
        <is>
          <t>Resultado_Esperado</t>
        </is>
      </c>
      <c r="I1" s="18" t="inlineStr">
        <is>
          <t>Resultado_Obtenido</t>
        </is>
      </c>
      <c r="J1" s="18" t="inlineStr">
        <is>
          <t>Estado_Ejecucion</t>
        </is>
      </c>
      <c r="K1" s="18" t="inlineStr">
        <is>
          <t>ID_Defecto_Asociado</t>
        </is>
      </c>
      <c r="L1" s="18" t="inlineStr">
        <is>
          <t>Evidencia</t>
        </is>
      </c>
      <c r="M1" s="18" t="inlineStr">
        <is>
          <t>Categoria_Criterio</t>
        </is>
      </c>
    </row>
    <row r="2" ht="26.25" customHeight="1" s="13">
      <c r="A2" s="15" t="inlineStr">
        <is>
          <t>TC-REQ01-001</t>
        </is>
      </c>
      <c r="B2" s="15" t="inlineStr">
        <is>
          <t>REQ-01</t>
        </is>
      </c>
      <c r="C2" s="15" t="inlineStr">
        <is>
          <t>Login válido con usuario activo</t>
        </is>
      </c>
      <c r="D2" s="15" t="inlineStr">
        <is>
          <t>Seguridad y sesiones</t>
        </is>
      </c>
      <c r="E2" s="15" t="inlineStr">
        <is>
          <t>Sí</t>
        </is>
      </c>
      <c r="F2" s="15" t="inlineStr">
        <is>
          <t>Anderson Ariana</t>
        </is>
      </c>
      <c r="G2" s="20" t="n">
        <v>46314</v>
      </c>
      <c r="H2" s="15" t="inlineStr">
        <is>
          <t>HTTP 200. Devuelve token, refreshToken, roles y permisos; registra evento LOGIN exitoso y reinicia intentos fallidos.</t>
        </is>
      </c>
      <c r="I2" s="21" t="inlineStr">
        <is>
          <t>HTTP 200: token, refreshToken, rol ADMINISTRADOR, roles y permisos en la respuesta; ultimoLogin actualizado.</t>
        </is>
      </c>
      <c r="J2" s="21" t="inlineStr">
        <is>
          <t>Pass</t>
        </is>
      </c>
      <c r="K2" s="21" t="inlineStr">
        <is>
          <t>N/A</t>
        </is>
      </c>
      <c r="L2" s="21" t="inlineStr">
        <is>
          <t>Resultados_Newman/Anderson/TC-REQ01-001.json</t>
        </is>
      </c>
      <c r="M2" s="15" t="inlineStr">
        <is>
          <t>—</t>
        </is>
      </c>
    </row>
    <row r="3" ht="39" customHeight="1" s="13">
      <c r="A3" s="15" t="inlineStr">
        <is>
          <t>TC-REQ01-002</t>
        </is>
      </c>
      <c r="B3" s="15" t="inlineStr">
        <is>
          <t>REQ-01</t>
        </is>
      </c>
      <c r="C3" s="15" t="inlineStr">
        <is>
          <t>Bloqueo en frontera de intentos fallidos</t>
        </is>
      </c>
      <c r="D3" s="15" t="inlineStr">
        <is>
          <t>Seguridad y sesiones</t>
        </is>
      </c>
      <c r="E3" s="15" t="inlineStr">
        <is>
          <t>Sí</t>
        </is>
      </c>
      <c r="F3" s="15" t="inlineStr">
        <is>
          <t>Anderson Ariana</t>
        </is>
      </c>
      <c r="G3" s="20" t="n">
        <v>46314</v>
      </c>
      <c r="H3" s="15" t="inlineStr">
        <is>
          <t>Intentos 1-4: HTTP 401 e indica 'Intento X de 5'. Intento 5: HTTP 401 y usuario queda bloqueado; sesiones se revocan. Intento posterior: HTTP 423 mientras el bloqueo siga vigente.</t>
        </is>
      </c>
      <c r="I3" s="21" t="inlineStr">
        <is>
          <t>Intentos 1-4: HTTP 401 'Credenciales incorrectas. Intento X de 5.'; intento 5: HTTP 401 y qa_bloqueo queda bloqueado=true, intentos=5, bloqueado_hasta +30 min; 6.º intento con clave correcta: HTTP 423 'El usuario se encuentra bloqueado...'. Eventos LOGIN_FALLIDO ×5 y USUARIO_BLOQUEADO en BD.</t>
        </is>
      </c>
      <c r="J3" s="21" t="inlineStr">
        <is>
          <t>Pass</t>
        </is>
      </c>
      <c r="K3" s="21" t="inlineStr">
        <is>
          <t>N/A</t>
        </is>
      </c>
      <c r="L3" s="21" t="inlineStr">
        <is>
          <t>Resultados_Newman/Anderson/TC-REQ01-002.json; Logs_Consola_Servidor/Verificaciones_SQL/TC-REQ01-002.txt</t>
        </is>
      </c>
      <c r="M3" s="15" t="inlineStr">
        <is>
          <t>—</t>
        </is>
      </c>
    </row>
    <row r="4" ht="39" customHeight="1" s="13">
      <c r="A4" s="15" t="inlineStr">
        <is>
          <t>TC-REQ01-003</t>
        </is>
      </c>
      <c r="B4" s="15" t="inlineStr">
        <is>
          <t>REQ-01</t>
        </is>
      </c>
      <c r="C4" s="15" t="inlineStr">
        <is>
          <t>Rechazo de usuario inactivo o bloqueado</t>
        </is>
      </c>
      <c r="D4" s="15" t="inlineStr">
        <is>
          <t>Seguridad y sesiones</t>
        </is>
      </c>
      <c r="E4" s="15" t="inlineStr">
        <is>
          <t>Sí</t>
        </is>
      </c>
      <c r="F4" s="15" t="inlineStr">
        <is>
          <t>Anderson Ariana</t>
        </is>
      </c>
      <c r="G4" s="20" t="n">
        <v>46314</v>
      </c>
      <c r="H4" s="15" t="inlineStr">
        <is>
          <t>Inactivo: HTTP 403, 'El usuario se encuentra inactivo...'. Bloqueado: HTTP 423, 'El usuario se encuentra bloqueado...'. No se entrega token.</t>
        </is>
      </c>
      <c r="I4" s="21" t="inlineStr">
        <is>
          <t>qa_inactivo: HTTP 403 'El usuario se encuentra inactivo. Por favor comuniquese con soporte.'; qa_bloqueado: HTTP 423 'El usuario se encuentra bloqueado...'. Sin token en ninguna respuesta.</t>
        </is>
      </c>
      <c r="J4" s="21" t="inlineStr">
        <is>
          <t>Pass</t>
        </is>
      </c>
      <c r="K4" s="21" t="inlineStr">
        <is>
          <t>N/A</t>
        </is>
      </c>
      <c r="L4" s="21" t="inlineStr">
        <is>
          <t>Resultados_Newman/Anderson/TC-REQ01-003.json</t>
        </is>
      </c>
      <c r="M4" s="15" t="inlineStr">
        <is>
          <t>—</t>
        </is>
      </c>
    </row>
    <row r="5" ht="39" customHeight="1" s="13">
      <c r="A5" s="15" t="inlineStr">
        <is>
          <t>TC-REQ02-001</t>
        </is>
      </c>
      <c r="B5" s="15" t="inlineStr">
        <is>
          <t>REQ-02</t>
        </is>
      </c>
      <c r="C5" s="15" t="inlineStr">
        <is>
          <t>Rotación de refresh token</t>
        </is>
      </c>
      <c r="D5" s="15" t="inlineStr">
        <is>
          <t>Seguridad y sesiones</t>
        </is>
      </c>
      <c r="E5" s="15" t="inlineStr">
        <is>
          <t>Sí</t>
        </is>
      </c>
      <c r="F5" s="15" t="inlineStr">
        <is>
          <t>Anderson Ariana</t>
        </is>
      </c>
      <c r="G5" s="20" t="n">
        <v>46314</v>
      </c>
      <c r="H5" s="15" t="inlineStr">
        <is>
          <t>Primera llamada HTTP 200 y entrega nuevos tokens. El refresh anterior queda rotado; su reutilización debe ser rechazada como inválida/expirada (HTTP 401).</t>
        </is>
      </c>
      <c r="I5" s="21" t="inlineStr">
        <is>
          <t>Refresh con refresh_v1: HTTP 200 con tokens nuevos y refresh distinto; reutilizar refresh_v1: HTTP 401 'Refresh token invalido o expirado.'</t>
        </is>
      </c>
      <c r="J5" s="21" t="inlineStr">
        <is>
          <t>Pass</t>
        </is>
      </c>
      <c r="K5" s="21" t="inlineStr">
        <is>
          <t>N/A</t>
        </is>
      </c>
      <c r="L5" s="21" t="inlineStr">
        <is>
          <t>Resultados_Newman/Anderson/TC-REQ02-001.json; Logs_Consola_Servidor/Verificaciones_SQL/TC-REQ02.txt</t>
        </is>
      </c>
      <c r="M5" s="15" t="inlineStr">
        <is>
          <t>—</t>
        </is>
      </c>
    </row>
    <row r="6" ht="39" customHeight="1" s="13">
      <c r="A6" s="15" t="inlineStr">
        <is>
          <t>TC-REQ02-002</t>
        </is>
      </c>
      <c r="B6" s="15" t="inlineStr">
        <is>
          <t>REQ-02</t>
        </is>
      </c>
      <c r="C6" s="15" t="inlineStr">
        <is>
          <t>Logout revoca la sesión activa</t>
        </is>
      </c>
      <c r="D6" s="15" t="inlineStr">
        <is>
          <t>Seguridad y sesiones</t>
        </is>
      </c>
      <c r="E6" s="15" t="inlineStr">
        <is>
          <t>Sí</t>
        </is>
      </c>
      <c r="F6" s="15" t="inlineStr">
        <is>
          <t>Anderson Ariana</t>
        </is>
      </c>
      <c r="G6" s="20" t="n">
        <v>46314</v>
      </c>
      <c r="H6" s="15" t="inlineStr">
        <is>
          <t>Logout exitoso. La sesión queda revocada; solicitudes posteriores con esa sesión fallan autenticación y el refresh no genera una nueva sesión.</t>
        </is>
      </c>
      <c r="I6" s="21" t="inlineStr">
        <is>
          <t>Logout HTTP 200; /api/auth/me con el mismo access token: HTTP 401; refresh de la sesión revocada: HTTP 401. En BD la sesión queda estado=false con fecha_cierre.</t>
        </is>
      </c>
      <c r="J6" s="21" t="inlineStr">
        <is>
          <t>Pass</t>
        </is>
      </c>
      <c r="K6" s="21" t="inlineStr">
        <is>
          <t>N/A</t>
        </is>
      </c>
      <c r="L6" s="21" t="inlineStr">
        <is>
          <t>Resultados_Newman/Anderson/TC-REQ02-002.json; Logs_Consola_Servidor/Verificaciones_SQL/TC-REQ02.txt</t>
        </is>
      </c>
      <c r="M6" s="15" t="inlineStr">
        <is>
          <t>—</t>
        </is>
      </c>
    </row>
    <row r="7" ht="26.25" customHeight="1" s="13">
      <c r="A7" s="15" t="inlineStr">
        <is>
          <t>TC-REQ03-001</t>
        </is>
      </c>
      <c r="B7" s="15" t="inlineStr">
        <is>
          <t>REQ-03</t>
        </is>
      </c>
      <c r="C7" s="15" t="inlineStr">
        <is>
          <t>Acceso permitido con permiso requerido</t>
        </is>
      </c>
      <c r="D7" s="15" t="inlineStr">
        <is>
          <t>Seguridad y sesiones</t>
        </is>
      </c>
      <c r="E7" s="15" t="inlineStr">
        <is>
          <t>Sí</t>
        </is>
      </c>
      <c r="F7" s="15" t="inlineStr">
        <is>
          <t>Anderson Ariana</t>
        </is>
      </c>
      <c r="G7" s="20" t="n">
        <v>46314</v>
      </c>
      <c r="H7" s="15" t="inlineStr">
        <is>
          <t>HTTP 200 y acceso únicamente al recurso autorizado.</t>
        </is>
      </c>
      <c r="I7" s="21" t="inlineStr">
        <is>
          <t>GET /api/clientes con qa_admin: HTTP 200 con el listado de clientes.</t>
        </is>
      </c>
      <c r="J7" s="21" t="inlineStr">
        <is>
          <t>Pass</t>
        </is>
      </c>
      <c r="K7" s="21" t="inlineStr">
        <is>
          <t>N/A</t>
        </is>
      </c>
      <c r="L7" s="21" t="inlineStr">
        <is>
          <t>Resultados_Newman/Anderson/TC-REQ03-001.json</t>
        </is>
      </c>
      <c r="M7" s="15" t="inlineStr">
        <is>
          <t>Autorización</t>
        </is>
      </c>
    </row>
    <row r="8" ht="26.25" customHeight="1" s="13">
      <c r="A8" s="15" t="inlineStr">
        <is>
          <t>TC-REQ03-002</t>
        </is>
      </c>
      <c r="B8" s="15" t="inlineStr">
        <is>
          <t>REQ-03</t>
        </is>
      </c>
      <c r="C8" s="15" t="inlineStr">
        <is>
          <t>Denegación por rol/permiso insuficiente</t>
        </is>
      </c>
      <c r="D8" s="15" t="inlineStr">
        <is>
          <t>Seguridad y sesiones</t>
        </is>
      </c>
      <c r="E8" s="15" t="inlineStr">
        <is>
          <t>Sí</t>
        </is>
      </c>
      <c r="F8" s="15" t="inlineStr">
        <is>
          <t>Anderson Ariana</t>
        </is>
      </c>
      <c r="G8" s="20" t="n">
        <v>46314</v>
      </c>
      <c r="H8" s="15" t="inlineStr">
        <is>
          <t>HTTP 403/denegación en cada combinación no autorizada; ninguna operación negada modifica datos.</t>
        </is>
      </c>
      <c r="I8" s="21" t="inlineStr">
        <is>
          <t>P2 CLIENTE→/api/clientes: 403; P4 JWT BANCO_EXTERNO→InternalAPI: 403; POST cliente con token CLIENTE: 403 (DPI 2999999990194 no se crea); P7 sin token→/api/clientes: 401. Fila adicional P7 sin token→GET /api/ach/bancos: HTTP 200 con la configuración ACH (también /activos; PATCH anónimo llega al servicio: 404). Combinación no autorizada no denegada.</t>
        </is>
      </c>
      <c r="J8" s="21" t="inlineStr">
        <is>
          <t>Fail</t>
        </is>
      </c>
      <c r="K8" s="21" t="inlineStr">
        <is>
          <t>BUG-NEX-01</t>
        </is>
      </c>
      <c r="L8" s="21" t="inlineStr">
        <is>
          <t>Resultados_Newman/Anderson/TC-REQ03-002.json; Capturas_Bugs/Evidencia_BUG01_Anderson.png</t>
        </is>
      </c>
      <c r="M8" s="15" t="inlineStr">
        <is>
          <t>Autorización</t>
        </is>
      </c>
    </row>
    <row r="9" ht="26.25" customHeight="1" s="13">
      <c r="A9" s="15" t="inlineStr">
        <is>
          <t>TC-REQ04-001</t>
        </is>
      </c>
      <c r="B9" s="15" t="inlineStr">
        <is>
          <t>REQ-04</t>
        </is>
      </c>
      <c r="C9" s="15" t="inlineStr">
        <is>
          <t>Registro válido en frontera exacta de 18 años</t>
        </is>
      </c>
      <c r="D9" s="15" t="inlineStr">
        <is>
          <t>Clientes</t>
        </is>
      </c>
      <c r="E9" s="15" t="inlineStr">
        <is>
          <t>No</t>
        </is>
      </c>
      <c r="F9" s="15" t="inlineStr">
        <is>
          <t>Walter Rosales</t>
        </is>
      </c>
      <c r="G9" s="20" t="n">
        <v>46314</v>
      </c>
      <c r="H9" s="15" t="inlineStr">
        <is>
          <t>HTTP 201. Cliente creado y estado inicial EN_REVISION; no se rechaza por edad al cumplir exactamente 18.</t>
        </is>
      </c>
      <c r="I9" s="21" t="inlineStr">
        <is>
          <t>Diego (nac. 2008-10-20, 18 años exactos a la fecha del servidor 2026-10-20 UTC): HTTP 201 'Cliente registrado en revision', GET muestra EN_REVISION. Variante menor por 1 día (2008-10-21): HTTP 400 'El cliente tiene 17 anos. Minimo: 18' y no se crea.</t>
        </is>
      </c>
      <c r="J9" s="21" t="inlineStr">
        <is>
          <t>Pass</t>
        </is>
      </c>
      <c r="K9" s="21" t="inlineStr">
        <is>
          <t>N/A</t>
        </is>
      </c>
      <c r="L9" s="21" t="inlineStr">
        <is>
          <t>Resultados_Newman/Walter/TC-REQ04-001.json; Logs_Consola_Servidor/Verificaciones_SQL/REQ-04_Clientes.txt</t>
        </is>
      </c>
      <c r="M9" s="15" t="inlineStr">
        <is>
          <t>—</t>
        </is>
      </c>
    </row>
    <row r="10" ht="39" customHeight="1" s="13">
      <c r="A10" s="15" t="inlineStr">
        <is>
          <t>TC-REQ04-002</t>
        </is>
      </c>
      <c r="B10" s="15" t="inlineStr">
        <is>
          <t>REQ-04</t>
        </is>
      </c>
      <c r="C10" s="15" t="inlineStr">
        <is>
          <t>Fronteras y duplicidad de DPI</t>
        </is>
      </c>
      <c r="D10" s="15" t="inlineStr">
        <is>
          <t>Clientes</t>
        </is>
      </c>
      <c r="E10" s="15" t="inlineStr">
        <is>
          <t>No</t>
        </is>
      </c>
      <c r="F10" s="15" t="inlineStr">
        <is>
          <t>Walter Rosales</t>
        </is>
      </c>
      <c r="G10" s="20" t="n">
        <v>46314</v>
      </c>
      <c r="H10" s="15" t="inlineStr">
        <is>
          <t>12/14 dígitos: HTTP 400 'DPI invalido. Debe tener 13 digitos'. 13 nuevo: aceptado si resto válido. Duplicado: HTTP 409 'Ya existe cliente con ese DPI'.</t>
        </is>
      </c>
      <c r="I10" s="21" t="inlineStr">
        <is>
          <t>DPI 12 y 14 dígitos: HTTP 400 'DPI invalido. Debe tener 13 digitos'; DPI 13 nuevo: HTTP 201; DPI duplicado 2999999990101: HTTP 409 'Ya existe cliente con ese DPI'. En BD solo se creó 2999999990198.</t>
        </is>
      </c>
      <c r="J10" s="21" t="inlineStr">
        <is>
          <t>Pass</t>
        </is>
      </c>
      <c r="K10" s="21" t="inlineStr">
        <is>
          <t>N/A</t>
        </is>
      </c>
      <c r="L10" s="21" t="inlineStr">
        <is>
          <t>Resultados_Newman/Walter/TC-REQ04-002.json; Logs_Consola_Servidor/Verificaciones_SQL/REQ-04_Clientes.txt</t>
        </is>
      </c>
      <c r="M10" s="15" t="inlineStr">
        <is>
          <t>—</t>
        </is>
      </c>
    </row>
    <row r="11" ht="39" customHeight="1" s="13">
      <c r="A11" s="15" t="inlineStr">
        <is>
          <t>TC-REQ04-003</t>
        </is>
      </c>
      <c r="B11" s="15" t="inlineStr">
        <is>
          <t>REQ-04</t>
        </is>
      </c>
      <c r="C11" s="15" t="inlineStr">
        <is>
          <t>Validación de correo y teléfono</t>
        </is>
      </c>
      <c r="D11" s="15" t="inlineStr">
        <is>
          <t>Clientes</t>
        </is>
      </c>
      <c r="E11" s="15" t="inlineStr">
        <is>
          <t>No</t>
        </is>
      </c>
      <c r="F11" s="15" t="inlineStr">
        <is>
          <t>Walter Rosales</t>
        </is>
      </c>
      <c r="G11" s="20" t="n">
        <v>46314</v>
      </c>
      <c r="H11" s="15" t="inlineStr">
        <is>
          <t>Correo inválido: HTTP 400 'Email con formato invalido'. Teléfono inválido: HTTP 400 'Telefono invalido. Debe tener 8 digitos'.</t>
        </is>
      </c>
      <c r="I11" s="21" t="inlineStr">
        <is>
          <t>Correo sin @: HTTP 400 'Email con formato invalido'; teléfono 7 y 9 dígitos: HTTP 400 'Telefono invalido. Debe tener 8 digitos'. No se creó el DPI 2999999990196.</t>
        </is>
      </c>
      <c r="J11" s="21" t="inlineStr">
        <is>
          <t>Pass</t>
        </is>
      </c>
      <c r="K11" s="21" t="inlineStr">
        <is>
          <t>N/A</t>
        </is>
      </c>
      <c r="L11" s="21" t="inlineStr">
        <is>
          <t>Resultados_Newman/Walter/TC-REQ04-003.json; Logs_Consola_Servidor/Verificaciones_SQL/REQ-04_Clientes.txt</t>
        </is>
      </c>
      <c r="M11" s="15" t="inlineStr">
        <is>
          <t>—</t>
        </is>
      </c>
    </row>
    <row r="12" ht="26.25" customHeight="1" s="13">
      <c r="A12" s="15" t="inlineStr">
        <is>
          <t>TC-REQ05-001</t>
        </is>
      </c>
      <c r="B12" s="15" t="inlineStr">
        <is>
          <t>REQ-05</t>
        </is>
      </c>
      <c r="C12" s="15" t="inlineStr">
        <is>
          <t>Estado inicial del cliente</t>
        </is>
      </c>
      <c r="D12" s="15" t="inlineStr">
        <is>
          <t>Clientes</t>
        </is>
      </c>
      <c r="E12" s="15" t="inlineStr">
        <is>
          <t>No</t>
        </is>
      </c>
      <c r="F12" s="15" t="inlineStr">
        <is>
          <t>Walter Rosales</t>
        </is>
      </c>
      <c r="G12" s="20" t="n">
        <v>46314</v>
      </c>
      <c r="H12" s="15" t="inlineStr">
        <is>
          <t>Estado devuelto EN_REVISION; no ACTIVO automáticamente.</t>
        </is>
      </c>
      <c r="I12" s="21" t="inlineStr">
        <is>
          <t>Registro de Elena: HTTP 201; GET devuelve estado EN_REVISION (no ACTIVO). Auditoría CRM REGISTRO_CLIENTE.</t>
        </is>
      </c>
      <c r="J12" s="21" t="inlineStr">
        <is>
          <t>Pass</t>
        </is>
      </c>
      <c r="K12" s="21" t="inlineStr">
        <is>
          <t>N/A</t>
        </is>
      </c>
      <c r="L12" s="21" t="inlineStr">
        <is>
          <t>Resultados_Newman/Walter/TC-REQ05-001.json</t>
        </is>
      </c>
      <c r="M12" s="15" t="inlineStr">
        <is>
          <t>—</t>
        </is>
      </c>
    </row>
    <row r="13" ht="39" customHeight="1" s="13">
      <c r="A13" s="15" t="inlineStr">
        <is>
          <t>TC-REQ05-002</t>
        </is>
      </c>
      <c r="B13" s="15" t="inlineStr">
        <is>
          <t>REQ-05</t>
        </is>
      </c>
      <c r="C13" s="15" t="inlineStr">
        <is>
          <t>EN_REVISION no abre cuenta; ACTIVO sí puede continuar</t>
        </is>
      </c>
      <c r="D13" s="15" t="inlineStr">
        <is>
          <t>Clientes</t>
        </is>
      </c>
      <c r="E13" s="15" t="inlineStr">
        <is>
          <t>No</t>
        </is>
      </c>
      <c r="F13" s="15" t="inlineStr">
        <is>
          <t>Walter Rosales</t>
        </is>
      </c>
      <c r="G13" s="20" t="n">
        <v>46314</v>
      </c>
      <c r="H13" s="15" t="inlineStr">
        <is>
          <t>Antes de aprobar: HTTP 422 indicando cliente no activo. Tras pasar a ACTIVO, la validación de estado deja de bloquear la apertura y el flujo continúa.</t>
        </is>
      </c>
      <c r="I13" s="21" t="inlineStr">
        <is>
          <t>Apertura con Carla EN_REVISION: HTTP 422 'El cliente no esta activo. Estado: EN_REVISION' (0 cuentas); PATCH a ACTIVO: HTTP 200; nueva apertura: HTTP 201 AH261020854073 ACTIVA, saldo 0, mínimo Q100.</t>
        </is>
      </c>
      <c r="J13" s="21" t="inlineStr">
        <is>
          <t>Pass</t>
        </is>
      </c>
      <c r="K13" s="21" t="inlineStr">
        <is>
          <t>N/A</t>
        </is>
      </c>
      <c r="L13" s="21" t="inlineStr">
        <is>
          <t>Resultados_Newman/Walter/TC-REQ05-002.json; Logs_Consola_Servidor/Verificaciones_SQL/TC-REQ05-002.txt</t>
        </is>
      </c>
      <c r="M13" s="15" t="inlineStr">
        <is>
          <t>—</t>
        </is>
      </c>
    </row>
    <row r="14" ht="39" customHeight="1" s="13">
      <c r="A14" s="15" t="inlineStr">
        <is>
          <t>TC-REQ06-001</t>
        </is>
      </c>
      <c r="B14" s="15" t="inlineStr">
        <is>
          <t>REQ-06</t>
        </is>
      </c>
      <c r="C14" s="15" t="inlineStr">
        <is>
          <t>Apertura de cuenta con todas las precondiciones</t>
        </is>
      </c>
      <c r="D14" s="15" t="inlineStr">
        <is>
          <t>Cuentas</t>
        </is>
      </c>
      <c r="E14" s="15" t="inlineStr">
        <is>
          <t>Sí</t>
        </is>
      </c>
      <c r="F14" s="15" t="inlineStr">
        <is>
          <t>Walter Rosales</t>
        </is>
      </c>
      <c r="G14" s="20" t="n">
        <v>46314</v>
      </c>
      <c r="H14" s="15" t="inlineStr">
        <is>
          <t>HTTP 201. Cuenta ACTIVA; número con prefijo AH; saldo inicial 0; saldo mínimo Q100.00 según regla SQL; respuesta 'Cuenta abierta correctamente'.</t>
        </is>
      </c>
      <c r="I14" s="21" t="inlineStr">
        <is>
          <t>HTTP 201 'Cuenta abierta correctamente' AH261020969652; GET: ACTIVA, saldo 0.00, saldoMinimo 100.00, límite 5000, cajero de apertura registrado. Cuentas totales 2017→2018.</t>
        </is>
      </c>
      <c r="J14" s="21" t="inlineStr">
        <is>
          <t>Pass</t>
        </is>
      </c>
      <c r="K14" s="21" t="inlineStr">
        <is>
          <t>N/A</t>
        </is>
      </c>
      <c r="L14" s="21" t="inlineStr">
        <is>
          <t>Resultados_Newman/Walter/TC-REQ06-001.json; Logs_Consola_Servidor/Verificaciones_SQL/TC-REQ06.txt</t>
        </is>
      </c>
      <c r="M14" s="15" t="inlineStr">
        <is>
          <t>—</t>
        </is>
      </c>
    </row>
    <row r="15" ht="39" customHeight="1" s="13">
      <c r="A15" s="15" t="inlineStr">
        <is>
          <t>TC-REQ06-002</t>
        </is>
      </c>
      <c r="B15" s="15" t="inlineStr">
        <is>
          <t>REQ-06</t>
        </is>
      </c>
      <c r="C15" s="15" t="inlineStr">
        <is>
          <t>Negativas de apertura por precondición</t>
        </is>
      </c>
      <c r="D15" s="15" t="inlineStr">
        <is>
          <t>Cuentas</t>
        </is>
      </c>
      <c r="E15" s="15" t="inlineStr">
        <is>
          <t>Sí</t>
        </is>
      </c>
      <c r="F15" s="15" t="inlineStr">
        <is>
          <t>Walter Rosales</t>
        </is>
      </c>
      <c r="G15" s="20" t="n">
        <v>46314</v>
      </c>
      <c r="H15" s="15" t="inlineStr">
        <is>
          <t>Cliente no activo→422. Tipo inválido→400 con lista de tipos activos. Sin empleado activo→422. Sin caja→400 'Abra su caja primero'. No se crea cuenta en ninguna variante.</t>
        </is>
      </c>
      <c r="I15" s="21" t="inlineStr">
        <is>
          <t>R2 Gabriel EN_REVISION: 422; R3 tipo inválido: 400 'Tipo de cuenta invalido. Tipos activos: AHORRO, MONETARIA'; R4 sin empleado: 422 'El usuario autenticado no tiene un empleado activo asociado.'; R5 sin caja: 400 'Abra su caja primero'. Ninguna cuenta creada (total se mantiene en 2018).</t>
        </is>
      </c>
      <c r="J15" s="21" t="inlineStr">
        <is>
          <t>Pass</t>
        </is>
      </c>
      <c r="K15" s="21" t="inlineStr">
        <is>
          <t>N/A</t>
        </is>
      </c>
      <c r="L15" s="21" t="inlineStr">
        <is>
          <t>Resultados_Newman/Walter/TC-REQ06-002.json; Logs_Consola_Servidor/Verificaciones_SQL/TC-REQ06.txt</t>
        </is>
      </c>
      <c r="M15" s="15" t="inlineStr">
        <is>
          <t>—</t>
        </is>
      </c>
    </row>
    <row r="16" ht="26.25" customHeight="1" s="13">
      <c r="A16" s="15" t="inlineStr">
        <is>
          <t>TC-REQ07-001</t>
        </is>
      </c>
      <c r="B16" s="15" t="inlineStr">
        <is>
          <t>REQ-07</t>
        </is>
      </c>
      <c r="C16" s="15" t="inlineStr">
        <is>
          <t>Bloqueo de cuenta activa</t>
        </is>
      </c>
      <c r="D16" s="15" t="inlineStr">
        <is>
          <t>Cuentas</t>
        </is>
      </c>
      <c r="E16" s="15" t="inlineStr">
        <is>
          <t>No</t>
        </is>
      </c>
      <c r="F16" s="15" t="inlineStr">
        <is>
          <t>Walter Rosales</t>
        </is>
      </c>
      <c r="G16" s="20" t="n">
        <v>46314</v>
      </c>
      <c r="H16" s="15" t="inlineStr">
        <is>
          <t>HTTP 200. Estado cambia a BLOQUEADA y respuesta 'Cuenta bloqueada'.</t>
        </is>
      </c>
      <c r="I16" s="21" t="inlineStr">
        <is>
          <t>PATCH bloquear AH261002000210: HTTP 200 'Cuenta bloqueada'; GET y BD: estado BLOQUEADA, saldo sin cambio (Q1000).</t>
        </is>
      </c>
      <c r="J16" s="21" t="inlineStr">
        <is>
          <t>Pass</t>
        </is>
      </c>
      <c r="K16" s="21" t="inlineStr">
        <is>
          <t>N/A</t>
        </is>
      </c>
      <c r="L16" s="21" t="inlineStr">
        <is>
          <t>Resultados_Newman/Walter/TC-REQ07-001.json; Logs_Consola_Servidor/Verificaciones_SQL/TC-REQ07.txt</t>
        </is>
      </c>
      <c r="M16" s="15" t="inlineStr">
        <is>
          <t>—</t>
        </is>
      </c>
    </row>
    <row r="17" ht="39" customHeight="1" s="13">
      <c r="A17" s="15" t="inlineStr">
        <is>
          <t>TC-REQ07-002</t>
        </is>
      </c>
      <c r="B17" s="15" t="inlineStr">
        <is>
          <t>REQ-07</t>
        </is>
      </c>
      <c r="C17" s="15" t="inlineStr">
        <is>
          <t>Cierre solo con saldo cero</t>
        </is>
      </c>
      <c r="D17" s="15" t="inlineStr">
        <is>
          <t>Cuentas</t>
        </is>
      </c>
      <c r="E17" s="15" t="inlineStr">
        <is>
          <t>No</t>
        </is>
      </c>
      <c r="F17" s="15" t="inlineStr">
        <is>
          <t>Walter Rosales</t>
        </is>
      </c>
      <c r="G17" s="20" t="n">
        <v>46314</v>
      </c>
      <c r="H17" s="15" t="inlineStr">
        <is>
          <t>Saldo &gt;0: HTTP 422 'No se puede cerrar. Saldo actual: Q...'. Saldo 0: HTTP 200 y estado CERRADA; después no debe tratarse como cuenta operable.</t>
        </is>
      </c>
      <c r="I17" s="21" t="inlineStr">
        <is>
          <t>Cerrar AH261002000203 (Q500): HTTP 422 'No se puede cerrar. Saldo actual: Q500.00' (sigue ACTIVA); cerrar AH261002000204 (Q0): HTTP 200 'Cuenta cerrada'; BD: CERRADA con fecha_cierre y motivo.</t>
        </is>
      </c>
      <c r="J17" s="21" t="inlineStr">
        <is>
          <t>Pass</t>
        </is>
      </c>
      <c r="K17" s="21" t="inlineStr">
        <is>
          <t>N/A</t>
        </is>
      </c>
      <c r="L17" s="21" t="inlineStr">
        <is>
          <t>Resultados_Newman/Walter/TC-REQ07-002.json; Logs_Consola_Servidor/Verificaciones_SQL/TC-REQ07.txt</t>
        </is>
      </c>
      <c r="M17" s="15" t="inlineStr">
        <is>
          <t>—</t>
        </is>
      </c>
    </row>
    <row r="18" ht="39" customHeight="1" s="13">
      <c r="A18" s="15" t="inlineStr">
        <is>
          <t>TC-REQ07-003</t>
        </is>
      </c>
      <c r="B18" s="15" t="inlineStr">
        <is>
          <t>REQ-07</t>
        </is>
      </c>
      <c r="C18" s="15" t="inlineStr">
        <is>
          <t>Actualización de límite no negativo y no modificable al cerrar</t>
        </is>
      </c>
      <c r="D18" s="15" t="inlineStr">
        <is>
          <t>Cuentas</t>
        </is>
      </c>
      <c r="E18" s="15" t="inlineStr">
        <is>
          <t>No</t>
        </is>
      </c>
      <c r="F18" s="15" t="inlineStr">
        <is>
          <t>Walter Rosales</t>
        </is>
      </c>
      <c r="G18" s="20" t="n">
        <v>46314</v>
      </c>
      <c r="H18" s="15" t="inlineStr">
        <is>
          <t>-0.01→HTTP 400 'El límite diario no puede ser negativo.'. 0.00 es aceptable. CERRADA→HTTP 422 'No se puede actualizar el límite de una cuenta cerrada.'</t>
        </is>
      </c>
      <c r="I18" s="21" t="inlineStr">
        <is>
          <t>Límite -0.01: HTTP 400 'El límite diario no puede ser negativo.'; límite 0.00: HTTP 200 'Límite diario actualizado a Q0.00.'; cuenta CERRADA: HTTP 422 'No se puede actualizar el límite de una cuenta cerrada.' BD: AH261002000211 límite 0.00; AH261002000205 sin cambio.</t>
        </is>
      </c>
      <c r="J18" s="21" t="inlineStr">
        <is>
          <t>Pass</t>
        </is>
      </c>
      <c r="K18" s="21" t="inlineStr">
        <is>
          <t>N/A</t>
        </is>
      </c>
      <c r="L18" s="21" t="inlineStr">
        <is>
          <t>Resultados_Newman/Walter/TC-REQ07-003.json; Logs_Consola_Servidor/Verificaciones_SQL/TC-REQ07.txt</t>
        </is>
      </c>
      <c r="M18" s="15" t="inlineStr">
        <is>
          <t>—</t>
        </is>
      </c>
    </row>
    <row r="19" ht="26.25" customHeight="1" s="13">
      <c r="A19" s="15" t="inlineStr">
        <is>
          <t>TC-REQ08-001</t>
        </is>
      </c>
      <c r="B19" s="15" t="inlineStr">
        <is>
          <t>REQ-08</t>
        </is>
      </c>
      <c r="C19" s="15" t="inlineStr">
        <is>
          <t>Una sola caja abierta por día</t>
        </is>
      </c>
      <c r="D19" s="15" t="inlineStr">
        <is>
          <t>Caja</t>
        </is>
      </c>
      <c r="E19" s="15" t="inlineStr">
        <is>
          <t>Sí</t>
        </is>
      </c>
      <c r="F19" s="15" t="inlineStr">
        <is>
          <t>Sergio Och</t>
        </is>
      </c>
      <c r="G19" s="20" t="n">
        <v>46314</v>
      </c>
      <c r="H19" s="15" t="inlineStr">
        <is>
          <t>Primera apertura exitosa. Segunda: HTTP 422 'Ya tiene una sesion de caja abierta hoy'.</t>
        </is>
      </c>
      <c r="I19" s="21" t="inlineStr">
        <is>
          <t>Tras cerrar cajas (sección 5): 1.ª apertura HTTP 200 'Caja abierta. Puede comenzar a operar.'; 2.ª apertura el mismo día: HTTP 422 'Ya tiene una sesion de caja abierta hoy'. Una sola sesión ABIERTA en BD.</t>
        </is>
      </c>
      <c r="J19" s="21" t="inlineStr">
        <is>
          <t>Pass</t>
        </is>
      </c>
      <c r="K19" s="21" t="inlineStr">
        <is>
          <t>N/A</t>
        </is>
      </c>
      <c r="L19" s="21" t="inlineStr">
        <is>
          <t>Resultados_Newman/Sergio/TC-REQ08-001.json; Logs_Consola_Servidor/Verificaciones_SQL/TC-REQ08.txt</t>
        </is>
      </c>
      <c r="M19" s="15" t="inlineStr">
        <is>
          <t>—</t>
        </is>
      </c>
    </row>
    <row r="20" ht="26.25" customHeight="1" s="13">
      <c r="A20" s="15" t="inlineStr">
        <is>
          <t>TC-REQ08-002</t>
        </is>
      </c>
      <c r="B20" s="15" t="inlineStr">
        <is>
          <t>REQ-08</t>
        </is>
      </c>
      <c r="C20" s="15" t="inlineStr">
        <is>
          <t>Frontera Q10.00/Q10.01 sin justificación</t>
        </is>
      </c>
      <c r="D20" s="15" t="inlineStr">
        <is>
          <t>Caja</t>
        </is>
      </c>
      <c r="E20" s="15" t="inlineStr">
        <is>
          <t>Sí</t>
        </is>
      </c>
      <c r="F20" s="15" t="inlineStr">
        <is>
          <t>Sergio Och</t>
        </is>
      </c>
      <c r="G20" s="20" t="n">
        <v>46314</v>
      </c>
      <c r="H20" s="15" t="inlineStr">
        <is>
          <t>Q10.00 no dispara la regla (&gt;10). Q10.01: HTTP 422 con 'Diferencia de Q10.01 requiere justificacion.'</t>
        </is>
      </c>
      <c r="I20" s="21" t="inlineStr">
        <is>
          <t>Cierre +Q10.00 sin justificación: HTTP 200 (diferencia 10.00, SOBRANTE); reapertura HTTP 200; cierre +Q10.01 sin justificación: HTTP 422 'Diferencia de Q10.01 requiere justificacion.' (caja sigue ABIERTA).</t>
        </is>
      </c>
      <c r="J20" s="21" t="inlineStr">
        <is>
          <t>Pass</t>
        </is>
      </c>
      <c r="K20" s="21" t="inlineStr">
        <is>
          <t>N/A</t>
        </is>
      </c>
      <c r="L20" s="21" t="inlineStr">
        <is>
          <t>Resultados_Newman/Sergio/TC-REQ08-002.json; Logs_Consola_Servidor/Verificaciones_SQL/TC-REQ08.txt</t>
        </is>
      </c>
      <c r="M20" s="15" t="inlineStr">
        <is>
          <t>—</t>
        </is>
      </c>
    </row>
    <row r="21" ht="26.25" customHeight="1" s="13">
      <c r="A21" s="15" t="inlineStr">
        <is>
          <t>TC-REQ08-003</t>
        </is>
      </c>
      <c r="B21" s="15" t="inlineStr">
        <is>
          <t>REQ-08</t>
        </is>
      </c>
      <c r="C21" s="15" t="inlineStr">
        <is>
          <t>Cierre con diferencia mayor a Q10 justificada</t>
        </is>
      </c>
      <c r="D21" s="15" t="inlineStr">
        <is>
          <t>Caja</t>
        </is>
      </c>
      <c r="E21" s="15" t="inlineStr">
        <is>
          <t>Sí</t>
        </is>
      </c>
      <c r="F21" s="15" t="inlineStr">
        <is>
          <t>Sergio Och</t>
        </is>
      </c>
      <c r="G21" s="20" t="n">
        <v>46314</v>
      </c>
      <c r="H21" s="15" t="inlineStr">
        <is>
          <t>Cierre aceptado; diferencia Q10.01; resultado SOBRANTE. Variante Q989.99 produce FALTANTE.</t>
        </is>
      </c>
      <c r="I21" s="21" t="inlineStr">
        <is>
          <t>Cierre Q1010.01 con justificación: HTTP 200, efectivoEsperado 1000.00, diferencia 10.01, resultado SOBRANTE; BD: CERRADA con justificación.</t>
        </is>
      </c>
      <c r="J21" s="21" t="inlineStr">
        <is>
          <t>Pass</t>
        </is>
      </c>
      <c r="K21" s="21" t="inlineStr">
        <is>
          <t>N/A</t>
        </is>
      </c>
      <c r="L21" s="21" t="inlineStr">
        <is>
          <t>Resultados_Newman/Sergio/TC-REQ08-003.json; Logs_Consola_Servidor/Verificaciones_SQL/TC-REQ08.txt</t>
        </is>
      </c>
      <c r="M21" s="15" t="inlineStr">
        <is>
          <t>—</t>
        </is>
      </c>
    </row>
    <row r="22" ht="39" customHeight="1" s="13">
      <c r="A22" s="15" t="inlineStr">
        <is>
          <t>TC-REQ09-001</t>
        </is>
      </c>
      <c r="B22" s="15" t="inlineStr">
        <is>
          <t>REQ-09</t>
        </is>
      </c>
      <c r="C22" s="15" t="inlineStr">
        <is>
          <t>Monto mínimo de depósito</t>
        </is>
      </c>
      <c r="D22" s="15" t="inlineStr">
        <is>
          <t>Transacciones</t>
        </is>
      </c>
      <c r="E22" s="15" t="inlineStr">
        <is>
          <t>Sí</t>
        </is>
      </c>
      <c r="F22" s="15" t="inlineStr">
        <is>
          <t>Sergio Och</t>
        </is>
      </c>
      <c r="G22" s="20" t="n">
        <v>46314</v>
      </c>
      <c r="H22" s="15" t="inlineStr">
        <is>
          <t>Q0.00→HTTP 400 'El monto debe ser mayor a cero.'. Q0.01 entra al flujo transaccional y, con dependencias válidas, debe completarse.</t>
        </is>
      </c>
      <c r="I22" s="21" t="inlineStr">
        <is>
          <t>Depósito Q0.00: HTTP 400 'El monto debe ser mayor a cero.' (sin movimiento); Q0.01: HTTP 200 DEP-*; saldo 7000.00→7000.01, movimiento DEPOSITO/COMPLETADA, caja total_depositos +0.01, auditoría EXITOSO.</t>
        </is>
      </c>
      <c r="J22" s="21" t="inlineStr">
        <is>
          <t>Pass</t>
        </is>
      </c>
      <c r="K22" s="21" t="inlineStr">
        <is>
          <t>N/A</t>
        </is>
      </c>
      <c r="L22" s="21" t="inlineStr">
        <is>
          <t>Resultados_Newman/Sergio/TC-REQ09-001.json; Logs_Consola_Servidor/Verificaciones_SQL/TC-REQ09-001.txt</t>
        </is>
      </c>
      <c r="M22" s="15" t="inlineStr">
        <is>
          <t>Financiero</t>
        </is>
      </c>
    </row>
    <row r="23" ht="51.75" customHeight="1" s="13">
      <c r="A23" s="15" t="inlineStr">
        <is>
          <t>TC-REQ09-002</t>
        </is>
      </c>
      <c r="B23" s="15" t="inlineStr">
        <is>
          <t>REQ-09</t>
        </is>
      </c>
      <c r="C23" s="15" t="inlineStr">
        <is>
          <t>Depósito válido reconcilia cuenta, movimiento y caja</t>
        </is>
      </c>
      <c r="D23" s="15" t="inlineStr">
        <is>
          <t>Transacciones</t>
        </is>
      </c>
      <c r="E23" s="15" t="inlineStr">
        <is>
          <t>Sí</t>
        </is>
      </c>
      <c r="F23" s="15" t="inlineStr">
        <is>
          <t>Sergio Och</t>
        </is>
      </c>
      <c r="G23" s="20" t="n">
        <v>46314</v>
      </c>
      <c r="H23" s="15" t="inlineStr">
        <is>
          <t>HTTP 200; saldo y saldo_disponible aumentan exactamente Q2000; crea movimiento DEPOSITO/COMPLETADA con referencia DEP-*; total_depositos de caja aumenta Q2000; se registra auditoría.</t>
        </is>
      </c>
      <c r="I23" s="21" t="inlineStr">
        <is>
          <t>HTTP 200 DEP-1edd670a…; saldo y saldo_disponible 7000.01→9000.01 (+2000 exactos); movimiento DEPOSITO/COMPLETADA; caja total_depositos 0.01→2000.01; auditoría TRANSACCIONES/DEPOSITO antes/después; historial lo muestra.</t>
        </is>
      </c>
      <c r="J23" s="21" t="inlineStr">
        <is>
          <t>Pass</t>
        </is>
      </c>
      <c r="K23" s="21" t="inlineStr">
        <is>
          <t>N/A</t>
        </is>
      </c>
      <c r="L23" s="21" t="inlineStr">
        <is>
          <t>Resultados_Newman/Sergio/TC-REQ09-002.json; Logs_Consola_Servidor/Verificaciones_SQL/TC-REQ09-002.txt</t>
        </is>
      </c>
      <c r="M23" s="15" t="inlineStr">
        <is>
          <t>Financiero</t>
        </is>
      </c>
    </row>
    <row r="24" ht="39" customHeight="1" s="13">
      <c r="A24" s="15" t="inlineStr">
        <is>
          <t>TC-REQ09-003</t>
        </is>
      </c>
      <c r="B24" s="15" t="inlineStr">
        <is>
          <t>REQ-09</t>
        </is>
      </c>
      <c r="C24" s="15" t="inlineStr">
        <is>
          <t>Depósito rechazado por estado/caja</t>
        </is>
      </c>
      <c r="D24" s="15" t="inlineStr">
        <is>
          <t>Transacciones</t>
        </is>
      </c>
      <c r="E24" s="15" t="inlineStr">
        <is>
          <t>Sí</t>
        </is>
      </c>
      <c r="F24" s="15" t="inlineStr">
        <is>
          <t>Sergio Och</t>
        </is>
      </c>
      <c r="G24" s="20" t="n">
        <v>46314</v>
      </c>
      <c r="H24" s="15" t="inlineStr">
        <is>
          <t>Cuenta no ACTIVA→HTTP 422 desde regla SQL. Sin caja→HTTP 422 'El usuario autenticado debe tener un empleado activo con caja abierta.'. No cambia saldo.</t>
        </is>
      </c>
      <c r="I24" s="21" t="inlineStr">
        <is>
          <t>Cuenta BLOQUEADA: HTTP 422 'La cuenta AH261002000103 no esta activa. Estado actual: BLOQUEADA'; qa_cajero2 sin caja: HTTP 422 'El usuario autenticado debe tener un empleado activo con caja abierta.' Saldos, movimientos y caja sin cambios.</t>
        </is>
      </c>
      <c r="J24" s="21" t="inlineStr">
        <is>
          <t>Pass</t>
        </is>
      </c>
      <c r="K24" s="21" t="inlineStr">
        <is>
          <t>N/A</t>
        </is>
      </c>
      <c r="L24" s="21" t="inlineStr">
        <is>
          <t>Resultados_Newman/Sergio/TC-REQ09-003.json; Logs_Consola_Servidor/Verificaciones_SQL/TC-REQ09-003.txt</t>
        </is>
      </c>
      <c r="M24" s="15" t="inlineStr">
        <is>
          <t>Financiero</t>
        </is>
      </c>
    </row>
    <row r="25" ht="26.25" customHeight="1" s="13">
      <c r="A25" s="15" t="inlineStr">
        <is>
          <t>TC-REQ10-001</t>
        </is>
      </c>
      <c r="B25" s="15" t="inlineStr">
        <is>
          <t>REQ-10</t>
        </is>
      </c>
      <c r="C25" s="15" t="inlineStr">
        <is>
          <t>Monto de retiro mayor que cero</t>
        </is>
      </c>
      <c r="D25" s="15" t="inlineStr">
        <is>
          <t>Transacciones</t>
        </is>
      </c>
      <c r="E25" s="15" t="inlineStr">
        <is>
          <t>Sí</t>
        </is>
      </c>
      <c r="F25" s="15" t="inlineStr">
        <is>
          <t>Sergio Och</t>
        </is>
      </c>
      <c r="G25" s="20" t="n">
        <v>46314</v>
      </c>
      <c r="H25" s="15" t="inlineStr">
        <is>
          <t>Q0.00→HTTP 400 'El monto debe ser mayor a cero.'. Q0.01 puede procesarse si respeta mínimo y límite.</t>
        </is>
      </c>
      <c r="I25" s="21" t="inlineStr">
        <is>
          <t>Retiro Q0.00: HTTP 400 'El monto debe ser mayor a cero.'; Q0.01: HTTP 200 RET-*; saldo 9000.01→9000.00, monto_retirado_hoy +0.01, movimiento RETIRO/COMPLETADA, caja total_retiros +0.01.</t>
        </is>
      </c>
      <c r="J25" s="21" t="inlineStr">
        <is>
          <t>Pass</t>
        </is>
      </c>
      <c r="K25" s="21" t="inlineStr">
        <is>
          <t>N/A</t>
        </is>
      </c>
      <c r="L25" s="21" t="inlineStr">
        <is>
          <t>Resultados_Newman/Sergio/TC-REQ10-001.json; Logs_Consola_Servidor/Verificaciones_SQL/TC-REQ10-001.txt</t>
        </is>
      </c>
      <c r="M25" s="15" t="inlineStr">
        <is>
          <t>Financiero</t>
        </is>
      </c>
    </row>
    <row r="26" ht="51.75" customHeight="1" s="13">
      <c r="A26" s="15" t="inlineStr">
        <is>
          <t>TC-REQ10-002</t>
        </is>
      </c>
      <c r="B26" s="15" t="inlineStr">
        <is>
          <t>REQ-10</t>
        </is>
      </c>
      <c r="C26" s="15" t="inlineStr">
        <is>
          <t>Retiro válido actualiza saldo, caja y acumulado diario</t>
        </is>
      </c>
      <c r="D26" s="15" t="inlineStr">
        <is>
          <t>Transacciones</t>
        </is>
      </c>
      <c r="E26" s="15" t="inlineStr">
        <is>
          <t>Sí</t>
        </is>
      </c>
      <c r="F26" s="15" t="inlineStr">
        <is>
          <t>Sergio Och</t>
        </is>
      </c>
      <c r="G26" s="20" t="n">
        <v>46314</v>
      </c>
      <c r="H26" s="15" t="inlineStr">
        <is>
          <t>HTTP 200; saldo y disponible disminuyen Q100; monto_retirado_hoy aumenta Q100; movimiento RETIRO/COMPLETADA; total_retiros de caja +Q100; auditoría registrada.</t>
        </is>
      </c>
      <c r="I26" s="21" t="inlineStr">
        <is>
          <t>HTTP 200 RET-25d410a3…; AH261002000206 saldo y disponible 2500→2400; monto_retirado_hoy 0→100; movimiento RETIRO/COMPLETADA; caja total_retiros +100; auditoría TRANSACCIONES/RETIRO.</t>
        </is>
      </c>
      <c r="J26" s="21" t="inlineStr">
        <is>
          <t>Pass</t>
        </is>
      </c>
      <c r="K26" s="21" t="inlineStr">
        <is>
          <t>N/A</t>
        </is>
      </c>
      <c r="L26" s="21" t="inlineStr">
        <is>
          <t>Resultados_Newman/Sergio/TC-REQ10-002.json; Logs_Consola_Servidor/Verificaciones_SQL/TC-REQ10-002.txt</t>
        </is>
      </c>
      <c r="M26" s="15" t="inlineStr">
        <is>
          <t>Financiero</t>
        </is>
      </c>
    </row>
    <row r="27" ht="39" customHeight="1" s="13">
      <c r="A27" s="15" t="inlineStr">
        <is>
          <t>TC-REQ10-003</t>
        </is>
      </c>
      <c r="B27" s="15" t="inlineStr">
        <is>
          <t>REQ-10</t>
        </is>
      </c>
      <c r="C27" s="15" t="inlineStr">
        <is>
          <t>Frontera del límite diario en AHORRO</t>
        </is>
      </c>
      <c r="D27" s="15" t="inlineStr">
        <is>
          <t>Transacciones</t>
        </is>
      </c>
      <c r="E27" s="15" t="inlineStr">
        <is>
          <t>Sí</t>
        </is>
      </c>
      <c r="F27" s="15" t="inlineStr">
        <is>
          <t>Sergio Och</t>
        </is>
      </c>
      <c r="G27" s="20" t="n">
        <v>46314</v>
      </c>
      <c r="H27" s="15" t="inlineStr">
        <is>
          <t>Q5000.00 no excede la condición '&gt;'. Q5000.01→HTTP 422 con mensaje de límite diario excedido. Mantener H-01 abierto para equivalencia entre canales.</t>
        </is>
      </c>
      <c r="I27" s="21" t="inlineStr">
        <is>
          <t>Q5000.00: HTTP 200 (saldo 12000→7000, retirado hoy 5000). Tras reiniciar fixture, Q5000.01: HTTP 422 'Limite diario excedido. Retirado hoy: Q0.00. Limite: Q5000.00. Puede retirar maximo: Q5000.00' sin movimiento. H-01: ver BC-01.</t>
        </is>
      </c>
      <c r="J27" s="21" t="inlineStr">
        <is>
          <t>Pass</t>
        </is>
      </c>
      <c r="K27" s="21" t="inlineStr">
        <is>
          <t>N/A</t>
        </is>
      </c>
      <c r="L27" s="21" t="inlineStr">
        <is>
          <t>Resultados_Newman/Sergio/TC-REQ10-003_parte1_Q5000.00.json, _parte2_Q5000.01.json; Logs_Consola_Servidor/Verificaciones_SQL/TC-REQ10-003.txt</t>
        </is>
      </c>
      <c r="M27" s="15" t="inlineStr">
        <is>
          <t>Financiero</t>
        </is>
      </c>
    </row>
    <row r="28" ht="26.25" customHeight="1" s="13">
      <c r="A28" s="15" t="inlineStr">
        <is>
          <t>TC-REQ11-001</t>
        </is>
      </c>
      <c r="B28" s="15" t="inlineStr">
        <is>
          <t>REQ-11</t>
        </is>
      </c>
      <c r="C28" s="15" t="inlineStr">
        <is>
          <t>Origen y destino no pueden ser la misma cuenta</t>
        </is>
      </c>
      <c r="D28" s="15" t="inlineStr">
        <is>
          <t>Transacciones</t>
        </is>
      </c>
      <c r="E28" s="15" t="inlineStr">
        <is>
          <t>Sí</t>
        </is>
      </c>
      <c r="F28" s="15" t="inlineStr">
        <is>
          <t>Sergio Och</t>
        </is>
      </c>
      <c r="G28" s="20" t="n">
        <v>46314</v>
      </c>
      <c r="H28" s="15" t="inlineStr">
        <is>
          <t>HTTP 400 'La cuenta origen y destino no pueden ser la misma'. No se crean movimientos.</t>
        </is>
      </c>
      <c r="I28" s="21" t="inlineStr">
        <is>
          <t>HTTP 400 'La cuenta origen y destino no pueden ser la misma'; 0 movimientos y 0 transferencias creadas.</t>
        </is>
      </c>
      <c r="J28" s="21" t="inlineStr">
        <is>
          <t>Pass</t>
        </is>
      </c>
      <c r="K28" s="21" t="inlineStr">
        <is>
          <t>N/A</t>
        </is>
      </c>
      <c r="L28" s="21" t="inlineStr">
        <is>
          <t>Resultados_Newman/Sergio/TC-REQ11-001.json; Logs_Consola_Servidor/Verificaciones_SQL/TC-REQ11-001.txt</t>
        </is>
      </c>
      <c r="M28" s="15" t="inlineStr">
        <is>
          <t>Financiero</t>
        </is>
      </c>
    </row>
    <row r="29" ht="39" customHeight="1" s="13">
      <c r="A29" s="15" t="inlineStr">
        <is>
          <t>TC-REQ11-002</t>
        </is>
      </c>
      <c r="B29" s="15" t="inlineStr">
        <is>
          <t>REQ-11</t>
        </is>
      </c>
      <c r="C29" s="15" t="inlineStr">
        <is>
          <t>Transferencia interna atómica válida</t>
        </is>
      </c>
      <c r="D29" s="15" t="inlineStr">
        <is>
          <t>Transacciones</t>
        </is>
      </c>
      <c r="E29" s="15" t="inlineStr">
        <is>
          <t>Sí</t>
        </is>
      </c>
      <c r="F29" s="15" t="inlineStr">
        <is>
          <t>Sergio Och</t>
        </is>
      </c>
      <c r="G29" s="20" t="n">
        <v>46314</v>
      </c>
      <c r="H29" s="15" t="inlineStr">
        <is>
          <t>HTTP 200; origen queda Q2000 y destino Q1500; se crean TRF_OUT y TRF_IN vinculados; no existe estado intermedio parcial; se registra transferencia y auditoría.</t>
        </is>
      </c>
      <c r="I29" s="21" t="inlineStr">
        <is>
          <t>HTTP 200 TRF-a883752f…; origen AH261002000208 3000→2000 y destino AH261002000209 500→1500; TRF_OUT y TRF_IN con la misma referencia; 1 fila en transacciones.transferencias; auditoría TRANSFERENCIA antes/después.</t>
        </is>
      </c>
      <c r="J29" s="21" t="inlineStr">
        <is>
          <t>Pass</t>
        </is>
      </c>
      <c r="K29" s="21" t="inlineStr">
        <is>
          <t>N/A</t>
        </is>
      </c>
      <c r="L29" s="21" t="inlineStr">
        <is>
          <t>Resultados_Newman/Sergio/TC-REQ11-002.json; Logs_Consola_Servidor/Verificaciones_SQL/TC-REQ11-002.txt</t>
        </is>
      </c>
      <c r="M29" s="15" t="inlineStr">
        <is>
          <t>Financiero</t>
        </is>
      </c>
    </row>
    <row r="30" ht="39" customHeight="1" s="13">
      <c r="A30" s="15" t="inlineStr">
        <is>
          <t>TC-REQ11-003</t>
        </is>
      </c>
      <c r="B30" s="15" t="inlineStr">
        <is>
          <t>REQ-11</t>
        </is>
      </c>
      <c r="C30" s="15" t="inlineStr">
        <is>
          <t>Fallo de validación no deja débito parcial</t>
        </is>
      </c>
      <c r="D30" s="15" t="inlineStr">
        <is>
          <t>Transacciones</t>
        </is>
      </c>
      <c r="E30" s="15" t="inlineStr">
        <is>
          <t>Sí</t>
        </is>
      </c>
      <c r="F30" s="15" t="inlineStr">
        <is>
          <t>Sergio Och</t>
        </is>
      </c>
      <c r="G30" s="20" t="n">
        <v>46314</v>
      </c>
      <c r="H30" s="15" t="inlineStr">
        <is>
          <t>HTTP 422; ambos saldos quedan iguales al valor previo; no aparecen movimientos TRF_OUT/TRF_IN ni transferencia parcial.</t>
        </is>
      </c>
      <c r="I30" s="21" t="inlineStr">
        <is>
          <t>HTTP 422 'El retiro dejaria el saldo por debajo del minimo requerido'; AH261002000203 sigue en Q500 y AH261002000209 en Q1500; sin TRF_OUT/TRF_IN ni transferencia parcial.</t>
        </is>
      </c>
      <c r="J30" s="21" t="inlineStr">
        <is>
          <t>Pass</t>
        </is>
      </c>
      <c r="K30" s="21" t="inlineStr">
        <is>
          <t>N/A</t>
        </is>
      </c>
      <c r="L30" s="21" t="inlineStr">
        <is>
          <t>Resultados_Newman/Sergio/TC-REQ11-003.json; Logs_Consola_Servidor/Verificaciones_SQL/TC-REQ11-003.txt</t>
        </is>
      </c>
      <c r="M30" s="15" t="inlineStr">
        <is>
          <t>Financiero</t>
        </is>
      </c>
    </row>
    <row r="31" ht="26.25" customHeight="1" s="13">
      <c r="A31" s="15" t="inlineStr">
        <is>
          <t>TC-REQ12-001</t>
        </is>
      </c>
      <c r="B31" s="15" t="inlineStr">
        <is>
          <t>REQ-12</t>
        </is>
      </c>
      <c r="C31" s="15" t="inlineStr">
        <is>
          <t>Portal lista únicamente cuentas propias</t>
        </is>
      </c>
      <c r="D31" s="15" t="inlineStr">
        <is>
          <t>Portal del cliente</t>
        </is>
      </c>
      <c r="E31" s="15" t="inlineStr">
        <is>
          <t>Sí</t>
        </is>
      </c>
      <c r="F31" s="15" t="inlineStr">
        <is>
          <t>Walter Rosales</t>
        </is>
      </c>
      <c r="G31" s="20" t="n">
        <v>46314</v>
      </c>
      <c r="H31" s="15" t="inlineStr">
        <is>
          <t>HTTP 200; aparecen solo cuentas cuyo cliente_id corresponde a Cliente A; no se devuelve B1/B2.</t>
        </is>
      </c>
      <c r="I31" s="21" t="inlineStr">
        <is>
          <t>HTTP 200: solo cuentas de Ana (AH261002000101..105, MO261002000102 y la AH abierta en TC-REQ06-001); no aparecen AH261002000201 ni MO261002000202.</t>
        </is>
      </c>
      <c r="J31" s="21" t="inlineStr">
        <is>
          <t>Pass</t>
        </is>
      </c>
      <c r="K31" s="21" t="inlineStr">
        <is>
          <t>N/A</t>
        </is>
      </c>
      <c r="L31" s="21" t="inlineStr">
        <is>
          <t>Resultados_Newman/Walter/TC-REQ12-001.json</t>
        </is>
      </c>
      <c r="M31" s="15" t="inlineStr">
        <is>
          <t>—</t>
        </is>
      </c>
    </row>
    <row r="32" ht="26.25" customHeight="1" s="13">
      <c r="A32" s="15" t="inlineStr">
        <is>
          <t>TC-REQ12-002</t>
        </is>
      </c>
      <c r="B32" s="15" t="inlineStr">
        <is>
          <t>REQ-12</t>
        </is>
      </c>
      <c r="C32" s="15" t="inlineStr">
        <is>
          <t>Autorización horizontal en transferencia portal</t>
        </is>
      </c>
      <c r="D32" s="15" t="inlineStr">
        <is>
          <t>Portal del cliente</t>
        </is>
      </c>
      <c r="E32" s="15" t="inlineStr">
        <is>
          <t>Sí</t>
        </is>
      </c>
      <c r="F32" s="15" t="inlineStr">
        <is>
          <t>Walter Rosales</t>
        </is>
      </c>
      <c r="G32" s="20" t="n">
        <v>46314</v>
      </c>
      <c r="H32" s="15" t="inlineStr">
        <is>
          <t>HTTP 403 'La cuenta origen no pertenece al cliente autenticado.' No hay cambios de saldo.</t>
        </is>
      </c>
      <c r="I32" s="21" t="inlineStr">
        <is>
          <t>HTTP 403 'La cuenta origen no pertenece al cliente autenticado.'; saldos de AH261002000201 (3000) y MO261002000102 (1500) sin cambio; sin movimientos.</t>
        </is>
      </c>
      <c r="J32" s="21" t="inlineStr">
        <is>
          <t>Pass</t>
        </is>
      </c>
      <c r="K32" s="21" t="inlineStr">
        <is>
          <t>N/A</t>
        </is>
      </c>
      <c r="L32" s="21" t="inlineStr">
        <is>
          <t>Resultados_Newman/Walter/TC-REQ12-002.json; Logs_Consola_Servidor/Verificaciones_SQL/TC-REQ12-002.txt</t>
        </is>
      </c>
      <c r="M32" s="15" t="inlineStr">
        <is>
          <t>Autorización</t>
        </is>
      </c>
    </row>
    <row r="33" ht="39" customHeight="1" s="13">
      <c r="A33" s="15" t="inlineStr">
        <is>
          <t>TC-REQ12-003</t>
        </is>
      </c>
      <c r="B33" s="15" t="inlineStr">
        <is>
          <t>REQ-12</t>
        </is>
      </c>
      <c r="C33" s="15" t="inlineStr">
        <is>
          <t>Límite diario del portal en frontera</t>
        </is>
      </c>
      <c r="D33" s="15" t="inlineStr">
        <is>
          <t>Portal del cliente</t>
        </is>
      </c>
      <c r="E33" s="15" t="inlineStr">
        <is>
          <t>Sí</t>
        </is>
      </c>
      <c r="F33" s="15" t="inlineStr">
        <is>
          <t>Walter Rosales</t>
        </is>
      </c>
      <c r="G33" s="20" t="n">
        <v>46314</v>
      </c>
      <c r="H33" s="15" t="inlineStr">
        <is>
          <t>Q100.00 permitido. Q100.01→HTTP 422 'La transferencia supera el limite diario de la cuenta origen.' El éxito incrementa monto_retirado_hoy.</t>
        </is>
      </c>
      <c r="I33" s="21" t="inlineStr">
        <is>
          <t>Q100.00: HTTP 200 (AH261002000104 6000→5900, monto_retirado_hoy 4900→5000, TRF_OUT/TRF_IN). Tras reiniciar fixture, Q100.01: HTTP 422 'La transferencia supera el limite diario de la cuenta origen.' sin movimientos.</t>
        </is>
      </c>
      <c r="J33" s="21" t="inlineStr">
        <is>
          <t>Pass</t>
        </is>
      </c>
      <c r="K33" s="21" t="inlineStr">
        <is>
          <t>N/A</t>
        </is>
      </c>
      <c r="L33" s="21" t="inlineStr">
        <is>
          <t>Resultados_Newman/Walter/TC-REQ12-003_parte1_Q100.00.json, _parte2_Q100.01.json; Logs_Consola_Servidor/Verificaciones_SQL/TC-REQ12-003.txt</t>
        </is>
      </c>
      <c r="M33" s="15" t="inlineStr">
        <is>
          <t>—</t>
        </is>
      </c>
    </row>
    <row r="34" ht="26.25" customHeight="1" s="13">
      <c r="A34" s="15" t="inlineStr">
        <is>
          <t>TC-REQ13-001</t>
        </is>
      </c>
      <c r="B34" s="15" t="inlineStr">
        <is>
          <t>REQ-13</t>
        </is>
      </c>
      <c r="C34" s="15" t="inlineStr">
        <is>
          <t>Código de banco ACH único</t>
        </is>
      </c>
      <c r="D34" s="15" t="inlineStr">
        <is>
          <t>ACH</t>
        </is>
      </c>
      <c r="E34" s="15" t="inlineStr">
        <is>
          <t>No</t>
        </is>
      </c>
      <c r="F34" s="15" t="inlineStr">
        <is>
          <t>Anderson Ariana</t>
        </is>
      </c>
      <c r="G34" s="20" t="n">
        <v>46314</v>
      </c>
      <c r="H34" s="15" t="inlineStr">
        <is>
          <t>Primera creación HTTP 201. Duplicado→HTTP 409 'Ya existe un banco ACH con el mismo codigo.'.</t>
        </is>
      </c>
      <c r="I34" s="21" t="inlineStr">
        <is>
          <t>Crear QA_NEXUS: HTTP 201 (id 6ad6ba31…); duplicado: HTTP 409 'Ya existe un banco ACH con el mismo codigo.' Un solo documento en Mongo.</t>
        </is>
      </c>
      <c r="J34" s="21" t="inlineStr">
        <is>
          <t>Pass</t>
        </is>
      </c>
      <c r="K34" s="21" t="inlineStr">
        <is>
          <t>N/A</t>
        </is>
      </c>
      <c r="L34" s="21" t="inlineStr">
        <is>
          <t>Resultados_Newman/Anderson/TC-REQ13-001.json; Logs_Consola_Servidor/Verificaciones_SQL/TC-REQ13.txt</t>
        </is>
      </c>
      <c r="M34" s="15" t="inlineStr">
        <is>
          <t>—</t>
        </is>
      </c>
    </row>
    <row r="35" ht="26.25" customHeight="1" s="13">
      <c r="A35" s="15" t="inlineStr">
        <is>
          <t>TC-REQ13-002</t>
        </is>
      </c>
      <c r="B35" s="15" t="inlineStr">
        <is>
          <t>REQ-13</t>
        </is>
      </c>
      <c r="C35" s="15" t="inlineStr">
        <is>
          <t>Banco ACH inactivo no es utilizable</t>
        </is>
      </c>
      <c r="D35" s="15" t="inlineStr">
        <is>
          <t>ACH</t>
        </is>
      </c>
      <c r="E35" s="15" t="inlineStr">
        <is>
          <t>No</t>
        </is>
      </c>
      <c r="F35" s="15" t="inlineStr">
        <is>
          <t>Anderson Ariana</t>
        </is>
      </c>
      <c r="G35" s="20" t="n">
        <v>46314</v>
      </c>
      <c r="H35" s="15" t="inlineStr">
        <is>
          <t>No aparece en listado de activos; operación ACH→HTTP 422 'El banco ACH seleccionado esta inactivo.'</t>
        </is>
      </c>
      <c r="I35" s="21" t="inlineStr">
        <is>
          <t>PATCH activo=false: HTTP 200; GET /activos: HTTP 200 sin QA_NEXUS; validar destino con banco inactivo: HTTP 422 'El banco ACH seleccionado esta inactivo.' Re-verificación de BUG-NEX-01: /api/ach/bancos/activos sin token responde 200 (fuera del oráculo de este caso).</t>
        </is>
      </c>
      <c r="J35" s="21" t="inlineStr">
        <is>
          <t>Pass</t>
        </is>
      </c>
      <c r="K35" s="21" t="inlineStr">
        <is>
          <t>N/A</t>
        </is>
      </c>
      <c r="L35" s="21" t="inlineStr">
        <is>
          <t>Resultados_Newman/Anderson/TC-REQ13-002.json; Logs_Consola_Servidor/Verificaciones_SQL/TC-REQ13.txt</t>
        </is>
      </c>
      <c r="M35" s="15" t="inlineStr">
        <is>
          <t>—</t>
        </is>
      </c>
    </row>
    <row r="36" ht="39" customHeight="1" s="13">
      <c r="A36" s="15" t="inlineStr">
        <is>
          <t>TC-REQ14-001</t>
        </is>
      </c>
      <c r="B36" s="15" t="inlineStr">
        <is>
          <t>REQ-14</t>
        </is>
      </c>
      <c r="C36" s="15" t="inlineStr">
        <is>
          <t>Transferencia ACH saliente válida</t>
        </is>
      </c>
      <c r="D36" s="15" t="inlineStr">
        <is>
          <t>ACH</t>
        </is>
      </c>
      <c r="E36" s="15" t="inlineStr">
        <is>
          <t>Sí</t>
        </is>
      </c>
      <c r="F36" s="15" t="inlineStr">
        <is>
          <t>Anderson Ariana</t>
        </is>
      </c>
      <c r="G36" s="20" t="n">
        <v>46314</v>
      </c>
      <c r="H36" s="15" t="inlineStr">
        <is>
          <t>HTTP 200; estadoNombre ENVIADA o PENDIENTE según respuesta externa; genera códigoConfirmacion; débito local se refleja una sola vez y transferencia queda consultable.</t>
        </is>
      </c>
      <c r="I36" s="21" t="inlineStr">
        <is>
          <t>Reactivar banco 200; validar destino EXT-QA-0001: 200 'Cuenta sintetica encontrada.'; enviar Q15: HTTP 200 estadoNombre ENVIADA, codigoConfirmacion TRX-20261019-000001; AH261002000101 7010→6995 (un solo ACH_OUT), historial ACH 200; auditoría ACH.</t>
        </is>
      </c>
      <c r="J36" s="21" t="inlineStr">
        <is>
          <t>Pass</t>
        </is>
      </c>
      <c r="K36" s="21" t="inlineStr">
        <is>
          <t>N/A</t>
        </is>
      </c>
      <c r="L36" s="21" t="inlineStr">
        <is>
          <t>Resultados_Newman/Anderson/TC-REQ14-001.json; Logs_Consola_Servidor/Verificaciones_SQL/TC-REQ14-001.txt</t>
        </is>
      </c>
      <c r="M36" s="15" t="inlineStr">
        <is>
          <t>—</t>
        </is>
      </c>
    </row>
    <row r="37" ht="51.75" customHeight="1" s="13">
      <c r="A37" s="15" t="inlineStr">
        <is>
          <t>TC-REQ14-002</t>
        </is>
      </c>
      <c r="B37" s="15" t="inlineStr">
        <is>
          <t>REQ-14</t>
        </is>
      </c>
      <c r="C37" s="15" t="inlineStr">
        <is>
          <t>ACH rechazada por banco inactivo o saldo insuficiente</t>
        </is>
      </c>
      <c r="D37" s="15" t="inlineStr">
        <is>
          <t>ACH</t>
        </is>
      </c>
      <c r="E37" s="15" t="inlineStr">
        <is>
          <t>Sí</t>
        </is>
      </c>
      <c r="F37" s="15" t="inlineStr">
        <is>
          <t>Anderson Ariana</t>
        </is>
      </c>
      <c r="G37" s="20" t="n">
        <v>46314</v>
      </c>
      <c r="H37" s="15" t="inlineStr">
        <is>
          <t>Banco inactivo→422 'El banco ACH seleccionado esta inactivo.'. Saldo insuficiente→422 'Saldo disponible insuficiente para completar la transferencia ACH.'. No se reporta éxito silencioso.</t>
        </is>
      </c>
      <c r="I37" s="21" t="inlineStr">
        <is>
          <t>Banco inactivo: HTTP 422 'El banco ACH seleccionado esta inactivo.'; Q1500.01 desde MO261002000102: HTTP 422 'Saldo disponible insuficiente para completar la transferencia ACH.' Sin débitos ni filas en ach.transferencias.</t>
        </is>
      </c>
      <c r="J37" s="21" t="inlineStr">
        <is>
          <t>Pass</t>
        </is>
      </c>
      <c r="K37" s="21" t="inlineStr">
        <is>
          <t>N/A</t>
        </is>
      </c>
      <c r="L37" s="21" t="inlineStr">
        <is>
          <t>Resultados_Newman/Anderson/TC-REQ14-002.json; Logs_Consola_Servidor/Verificaciones_SQL/TC-REQ14-002.txt</t>
        </is>
      </c>
      <c r="M37" s="15" t="inlineStr">
        <is>
          <t>—</t>
        </is>
      </c>
    </row>
    <row r="38" ht="39" customHeight="1" s="13">
      <c r="A38" s="15" t="inlineStr">
        <is>
          <t>TC-REQ14-003</t>
        </is>
      </c>
      <c r="B38" s="15" t="inlineStr">
        <is>
          <t>REQ-14</t>
        </is>
      </c>
      <c r="C38" s="15" t="inlineStr">
        <is>
          <t>ACH respeta límite diario</t>
        </is>
      </c>
      <c r="D38" s="15" t="inlineStr">
        <is>
          <t>ACH</t>
        </is>
      </c>
      <c r="E38" s="15" t="inlineStr">
        <is>
          <t>Sí</t>
        </is>
      </c>
      <c r="F38" s="15" t="inlineStr">
        <is>
          <t>Anderson Ariana</t>
        </is>
      </c>
      <c r="G38" s="20" t="n">
        <v>46314</v>
      </c>
      <c r="H38" s="15" t="inlineStr">
        <is>
          <t>Q10.00 puede continuar. Q10.01→HTTP 422 'La transferencia ACH supera el limite diario de la cuenta origen.' H-04 permanece abierto para timeout/reintento/compensación.</t>
        </is>
      </c>
      <c r="I38" s="21" t="inlineStr">
        <is>
          <t>Q10.00: HTTP 200 ENVIADA (AH261002000105 8000→7990, retirado hoy 4990→5000). Tras reiniciar fixture y reabrir caja, Q10.01: HTTP 422 'La transferencia ACH supera el limite diario de la cuenta origen.' sin débito. (Primer intento sin caja abierta descartado por precondición: 403.)</t>
        </is>
      </c>
      <c r="J38" s="21" t="inlineStr">
        <is>
          <t>Pass</t>
        </is>
      </c>
      <c r="K38" s="21" t="inlineStr">
        <is>
          <t>N/A</t>
        </is>
      </c>
      <c r="L38" s="21" t="inlineStr">
        <is>
          <t>Resultados_Newman/Anderson/TC-REQ14-003_parte1_Q10.00.json, _parte2_Q10.01.json; Logs_Consola_Servidor/Verificaciones_SQL/TC-REQ14-003.txt</t>
        </is>
      </c>
      <c r="M38" s="15" t="inlineStr">
        <is>
          <t>—</t>
        </is>
      </c>
    </row>
    <row r="39" ht="39" customHeight="1" s="13">
      <c r="A39" s="15" t="inlineStr">
        <is>
          <t>TC-REQ17-001</t>
        </is>
      </c>
      <c r="B39" s="15" t="inlineStr">
        <is>
          <t>REQ-17</t>
        </is>
      </c>
      <c r="C39" s="15" t="inlineStr">
        <is>
          <t>Login de banco externo autorizado</t>
        </is>
      </c>
      <c r="D39" s="15" t="inlineStr">
        <is>
          <t>ACH</t>
        </is>
      </c>
      <c r="E39" s="15" t="inlineStr">
        <is>
          <t>Sí</t>
        </is>
      </c>
      <c r="F39" s="15" t="inlineStr">
        <is>
          <t>Anderson Ariana</t>
        </is>
      </c>
      <c r="G39" s="20" t="n">
        <v>46314</v>
      </c>
      <c r="H39" s="15" t="inlineStr">
        <is>
          <t>HTTP 200; devuelve accessToken, tokenType='Bearer' y expiración. Usuario sin rol/permisos recibe HTTP 403 'El usuario no esta autorizado para operar como banco externo.'</t>
        </is>
      </c>
      <c r="I39" s="21" t="inlineStr">
        <is>
          <t>qa.banco.externo: HTTP 200 accessToken, tokenType 'Bearer', expiresAt; Ana sin rol: HTTP 403 'El usuario no esta autorizado para operar como banco externo.'</t>
        </is>
      </c>
      <c r="J39" s="21" t="inlineStr">
        <is>
          <t>Pass</t>
        </is>
      </c>
      <c r="K39" s="21" t="inlineStr">
        <is>
          <t>N/A</t>
        </is>
      </c>
      <c r="L39" s="21" t="inlineStr">
        <is>
          <t>Resultados_Newman/Anderson/TC-REQ17-001.json</t>
        </is>
      </c>
      <c r="M39" s="15" t="inlineStr">
        <is>
          <t>—</t>
        </is>
      </c>
    </row>
    <row r="40" ht="26.25" customHeight="1" s="13">
      <c r="A40" s="15" t="inlineStr">
        <is>
          <t>TC-REQ17-002</t>
        </is>
      </c>
      <c r="B40" s="15" t="inlineStr">
        <is>
          <t>REQ-17</t>
        </is>
      </c>
      <c r="C40" s="15" t="inlineStr">
        <is>
          <t>Permiso externo obligatorio en PublicAPI</t>
        </is>
      </c>
      <c r="D40" s="15" t="inlineStr">
        <is>
          <t>ACH</t>
        </is>
      </c>
      <c r="E40" s="15" t="inlineStr">
        <is>
          <t>Sí</t>
        </is>
      </c>
      <c r="F40" s="15" t="inlineStr">
        <is>
          <t>Anderson Ariana</t>
        </is>
      </c>
      <c r="G40" s="20" t="n">
        <v>46314</v>
      </c>
      <c r="H40" s="15" t="inlineStr">
        <is>
          <t>HTTP 403 en el endpoint cuyo permiso falte; no se consulta/acredita cuenta por bypass de URL.</t>
        </is>
      </c>
      <c r="I40" s="21" t="inlineStr">
        <is>
          <t>Con permisos retirados (bloque SQL): login 200; búsqueda de cuenta: HTTP 403; transferencia entrante: HTTP 403. Saldo de AH261002000101 sin cambio y 0 filas en ach.transferencias_entrantes; permisos restaurados.</t>
        </is>
      </c>
      <c r="J40" s="21" t="inlineStr">
        <is>
          <t>Pass</t>
        </is>
      </c>
      <c r="K40" s="21" t="inlineStr">
        <is>
          <t>N/A</t>
        </is>
      </c>
      <c r="L40" s="21" t="inlineStr">
        <is>
          <t>Resultados_Newman/Anderson/TC-REQ17-002.json; Logs_Consola_Servidor/Verificaciones_SQL/TC-REQ17-002.txt</t>
        </is>
      </c>
      <c r="M40" s="15" t="inlineStr">
        <is>
          <t>Autorización</t>
        </is>
      </c>
    </row>
    <row r="41" ht="51.75" customHeight="1" s="13">
      <c r="A41" s="15" t="inlineStr">
        <is>
          <t>TC-REQ17-003</t>
        </is>
      </c>
      <c r="B41" s="15" t="inlineStr">
        <is>
          <t>REQ-17</t>
        </is>
      </c>
      <c r="C41" s="15" t="inlineStr">
        <is>
          <t>ACH entrante idempotente por código de confirmación</t>
        </is>
      </c>
      <c r="D41" s="15" t="inlineStr">
        <is>
          <t>ACH</t>
        </is>
      </c>
      <c r="E41" s="15" t="inlineStr">
        <is>
          <t>Sí</t>
        </is>
      </c>
      <c r="F41" s="15" t="inlineStr">
        <is>
          <t>Anderson Ariana</t>
        </is>
      </c>
      <c r="G41" s="20" t="n">
        <v>46314</v>
      </c>
      <c r="H41" s="15" t="inlineStr">
        <is>
          <t>Primera: HTTP 201, estado APROBADA y saldo destino acreditado una vez. Repetición: HTTP 409 'La transferencia ya fue procesada.' y error codigo_confirmacion='El codigo de confirmacion ya existe.'; no duplica fondos.</t>
        </is>
      </c>
      <c r="I41" s="21" t="inlineStr">
        <is>
          <t>1.ª: HTTP 201 'Transferencia recibida correctamente.' estado APROBADA; AH261002000101 7000→7500 (un ACH_IN). Repetición: HTTP 409 'La transferencia ya fue procesada.' con errors.codigo_confirmacion 'El codigo de confirmacion ya existe.'; saldo sigue 7500.</t>
        </is>
      </c>
      <c r="J41" s="21" t="inlineStr">
        <is>
          <t>Pass</t>
        </is>
      </c>
      <c r="K41" s="21" t="inlineStr">
        <is>
          <t>N/A</t>
        </is>
      </c>
      <c r="L41" s="21" t="inlineStr">
        <is>
          <t>Resultados_Newman/Anderson/TC-REQ17-003.json; Logs_Consola_Servidor/Verificaciones_SQL/TC-REQ17-003.txt</t>
        </is>
      </c>
      <c r="M41" s="15" t="inlineStr">
        <is>
          <t>—</t>
        </is>
      </c>
    </row>
    <row r="42" ht="51.75" customHeight="1" s="13">
      <c r="A42" s="15" t="inlineStr">
        <is>
          <t>TC-REQ15-001</t>
        </is>
      </c>
      <c r="B42" s="15" t="inlineStr">
        <is>
          <t>REQ-15</t>
        </is>
      </c>
      <c r="C42" s="15" t="inlineStr">
        <is>
          <t>Eventos de login fallido y bloqueo quedan trazables</t>
        </is>
      </c>
      <c r="D42" s="15" t="inlineStr">
        <is>
          <t>Auditoría y reportes</t>
        </is>
      </c>
      <c r="E42" s="15" t="inlineStr">
        <is>
          <t>No</t>
        </is>
      </c>
      <c r="F42" s="15" t="inlineStr">
        <is>
          <t>Luis Contreras</t>
        </is>
      </c>
      <c r="G42" s="20" t="n">
        <v>46314</v>
      </c>
      <c r="H42" s="15" t="inlineStr">
        <is>
          <t>Existe evento LOGIN_FALLIDO con identificador, IP/UserAgent cuando estén disponibles y resultado fallido; al bloquear se registra evento de usuario bloqueado. No se almacena contraseña/token en texto como evidencia.</t>
        </is>
      </c>
      <c r="I42" s="21" t="inlineStr">
        <is>
          <t>5 logins fallidos (401) y bloqueo; GET eventos: LOGIN_FALLIDO con usuarioId, usernameIntentado, IP 172.22.0.1, UserAgent y exitoso=false; USUARIO_BLOQUEADO registrado. Ningún evento contiene la contraseña.</t>
        </is>
      </c>
      <c r="J42" s="21" t="inlineStr">
        <is>
          <t>Pass</t>
        </is>
      </c>
      <c r="K42" s="21" t="inlineStr">
        <is>
          <t>N/A</t>
        </is>
      </c>
      <c r="L42" s="21" t="inlineStr">
        <is>
          <t>Resultados_Newman/Luis/TC-REQ15-001.json; Logs_Consola_Servidor/Verificaciones_SQL/TC-REQ15-001.txt</t>
        </is>
      </c>
      <c r="M42" s="15" t="inlineStr">
        <is>
          <t>—</t>
        </is>
      </c>
    </row>
    <row r="43" ht="39" customHeight="1" s="13">
      <c r="A43" s="15" t="inlineStr">
        <is>
          <t>TC-REQ15-002</t>
        </is>
      </c>
      <c r="B43" s="15" t="inlineStr">
        <is>
          <t>REQ-15</t>
        </is>
      </c>
      <c r="C43" s="15" t="inlineStr">
        <is>
          <t>Operación financiera genera auditoría de antes/después</t>
        </is>
      </c>
      <c r="D43" s="15" t="inlineStr">
        <is>
          <t>Auditoría y reportes</t>
        </is>
      </c>
      <c r="E43" s="15" t="inlineStr">
        <is>
          <t>No</t>
        </is>
      </c>
      <c r="F43" s="15" t="inlineStr">
        <is>
          <t>Luis Contreras</t>
        </is>
      </c>
      <c r="G43" s="20" t="n">
        <v>46314</v>
      </c>
      <c r="H43" s="15" t="inlineStr">
        <is>
          <t>Existe registro del módulo TRANSACCIONES con acción correspondiente, entidad CUENTA, datos_antes/datos_despues y resultado EXITOSO coherente con el saldo real.</t>
        </is>
      </c>
      <c r="I43" s="21" t="inlineStr">
        <is>
          <t>Depósito Q100 y transferencia Q50: HTTP 200. auditoria.log_operaciones: TRANSACCIONES/DEPOSITO y TRANSFERENCIA, entidad CUENTA, datos_antes/después (7500→7600; 7600/500→7550/550) y EXITOSO, coherentes con el saldo real. Observación: usuario_id vacío (OBS-E3-03).</t>
        </is>
      </c>
      <c r="J43" s="21" t="inlineStr">
        <is>
          <t>Pass</t>
        </is>
      </c>
      <c r="K43" s="21" t="inlineStr">
        <is>
          <t>N/A</t>
        </is>
      </c>
      <c r="L43" s="21" t="inlineStr">
        <is>
          <t>Resultados_Newman/Luis/TC-REQ15-002.json; Logs_Consola_Servidor/Verificaciones_SQL/TC-REQ15-002.txt</t>
        </is>
      </c>
      <c r="M43" s="15" t="inlineStr">
        <is>
          <t>—</t>
        </is>
      </c>
    </row>
    <row r="44" ht="51.75" customHeight="1" s="13">
      <c r="A44" s="15" t="inlineStr">
        <is>
          <t>TC-REQ16-001</t>
        </is>
      </c>
      <c r="B44" s="15" t="inlineStr">
        <is>
          <t>REQ-16</t>
        </is>
      </c>
      <c r="C44" s="15" t="inlineStr">
        <is>
          <t>Reporte resumen coincide con dataset controlado</t>
        </is>
      </c>
      <c r="D44" s="15" t="inlineStr">
        <is>
          <t>Auditoría y reportes</t>
        </is>
      </c>
      <c r="E44" s="15" t="inlineStr">
        <is>
          <t>No</t>
        </is>
      </c>
      <c r="F44" s="15" t="inlineStr">
        <is>
          <t>Luis Contreras</t>
        </is>
      </c>
      <c r="G44" s="20" t="n">
        <v>46314</v>
      </c>
      <c r="H44" s="15" t="inlineStr">
        <is>
          <t>Campos totalClientes/clientesActivos/clientesEnRevision, totalCuentas/cuentasActivas/saldoTotal, transferencias y ACH deben coincidir exactamente con el fixture y las consultas SQL del servicio.</t>
        </is>
      </c>
      <c r="I44" s="21" t="inlineStr">
        <is>
          <t>BD REP-01: transferencia Q200 (200) y ACH entrante Q25 (201 APROBADA). Resumen HTTP 200: clientes 2/1/1, cuentas 3/2, saldoTotal 4000.00, transferencias 1/Q200 coinciden; achAprobadas=0 y montoAch=0 (esperado 1 y Q25.00). El reporte no cuenta los ACH entrantes.</t>
        </is>
      </c>
      <c r="J44" s="21" t="inlineStr">
        <is>
          <t>Fail</t>
        </is>
      </c>
      <c r="K44" s="21" t="inlineStr">
        <is>
          <t>BUG-NEX-02</t>
        </is>
      </c>
      <c r="L44" s="21" t="inlineStr">
        <is>
          <t>Resultados_Newman/Luis/TC-REQ16-001.json; Capturas_Bugs/Evidencia_BUG02_Luis.png; Logs_Consola_Servidor/Verificaciones_SQL/TC-REQ16-001_REP01.txt</t>
        </is>
      </c>
      <c r="M44" s="15" t="inlineStr">
        <is>
          <t>—</t>
        </is>
      </c>
    </row>
    <row r="45" ht="26.25" customHeight="1" s="13">
      <c r="A45" s="15" t="inlineStr">
        <is>
          <t>TC-REQ16-002</t>
        </is>
      </c>
      <c r="B45" s="15" t="inlineStr">
        <is>
          <t>REQ-16</t>
        </is>
      </c>
      <c r="C45" s="15" t="inlineStr">
        <is>
          <t>Reporte requiere permiso reportes.ver</t>
        </is>
      </c>
      <c r="D45" s="15" t="inlineStr">
        <is>
          <t>Auditoría y reportes</t>
        </is>
      </c>
      <c r="E45" s="15" t="inlineStr">
        <is>
          <t>No</t>
        </is>
      </c>
      <c r="F45" s="15" t="inlineStr">
        <is>
          <t>Luis Contreras</t>
        </is>
      </c>
      <c r="G45" s="20" t="n">
        <v>46314</v>
      </c>
      <c r="H45" s="15" t="inlineStr">
        <is>
          <t>Sin permiso→HTTP 403 sin datos del reporte. Con permiso→HTTP 200.</t>
        </is>
      </c>
      <c r="I45" s="21" t="inlineStr">
        <is>
          <t>qa_cajero (sin reportes.ver): HTTP 403 sin cuerpo; qa_admin: HTTP 200 con el resumen.</t>
        </is>
      </c>
      <c r="J45" s="21" t="inlineStr">
        <is>
          <t>Pass</t>
        </is>
      </c>
      <c r="K45" s="21" t="inlineStr">
        <is>
          <t>N/A</t>
        </is>
      </c>
      <c r="L45" s="21" t="inlineStr">
        <is>
          <t>Resultados_Newman/Luis/TC-REQ16-002.json</t>
        </is>
      </c>
      <c r="M45" s="15" t="inlineStr">
        <is>
          <t>Autorización</t>
        </is>
      </c>
    </row>
    <row r="46" ht="51.75" customHeight="1" s="13">
      <c r="A46" s="15" t="inlineStr">
        <is>
          <t>TC-REQ18-001</t>
        </is>
      </c>
      <c r="B46" s="15" t="inlineStr">
        <is>
          <t>REQ-18</t>
        </is>
      </c>
      <c r="C46" s="15" t="inlineStr">
        <is>
          <t>Operación bloqueada si usuario no tiene empleado activo</t>
        </is>
      </c>
      <c r="D46" s="15" t="inlineStr">
        <is>
          <t>Dependencias de datos</t>
        </is>
      </c>
      <c r="E46" s="15" t="inlineStr">
        <is>
          <t>No</t>
        </is>
      </c>
      <c r="F46" s="15" t="inlineStr">
        <is>
          <t>Sergio Och</t>
        </is>
      </c>
      <c r="G46" s="20" t="n">
        <v>46314</v>
      </c>
      <c r="H46" s="15" t="inlineStr">
        <is>
          <t>Caja→HTTP 422 'El usuario autenticado no tiene un empleado activo asociado.'. Apertura de cuenta→HTTP 422 con el mismo criterio de empleado activo. No se crean registros dependientes.</t>
        </is>
      </c>
      <c r="I46" s="21" t="inlineStr">
        <is>
          <t>Abrir caja y abrir cuenta con qa_sin_empleado: HTTP 422 'El usuario autenticado no tiene un empleado activo asociado.' en ambas; 0 sesiones de caja y 0 cuentas nuevas.</t>
        </is>
      </c>
      <c r="J46" s="21" t="inlineStr">
        <is>
          <t>Pass</t>
        </is>
      </c>
      <c r="K46" s="21" t="inlineStr">
        <is>
          <t>N/A</t>
        </is>
      </c>
      <c r="L46" s="21" t="inlineStr">
        <is>
          <t>Resultados_Newman/Sergio/TC-REQ18-001.json; Logs_Consola_Servidor/Verificaciones_SQL/TC-REQ18-001.txt</t>
        </is>
      </c>
      <c r="M46" s="15" t="inlineStr">
        <is>
          <t>—</t>
        </is>
      </c>
    </row>
    <row r="47" ht="51.75" customHeight="1" s="13">
      <c r="A47" s="15" t="inlineStr">
        <is>
          <t>TC-REQ18-002</t>
        </is>
      </c>
      <c r="B47" s="15" t="inlineStr">
        <is>
          <t>REQ-18</t>
        </is>
      </c>
      <c r="C47" s="15" t="inlineStr">
        <is>
          <t>Dependencias de catálogo/plan contable determinan readiness</t>
        </is>
      </c>
      <c r="D47" s="15" t="inlineStr">
        <is>
          <t>Dependencias de datos</t>
        </is>
      </c>
      <c r="E47" s="15" t="inlineStr">
        <is>
          <t>No</t>
        </is>
      </c>
      <c r="F47" s="15" t="inlineStr">
        <is>
          <t>Sergio Och</t>
        </is>
      </c>
      <c r="G47" s="20" t="n">
        <v>46314</v>
      </c>
      <c r="H47" s="15" t="inlineStr">
        <is>
          <t>Con seeds válidos el flujo continúa. Si falta cuenta contable requerida, depósito/retiro falla 422 con mensaje 'No existe cuenta contable activa con codigo ...'. Se clasifica como fallo de ambiente, no como defecto del caso funcional.</t>
        </is>
      </c>
      <c r="I47" s="21" t="inlineStr">
        <is>
          <t>Plan completo: depósito Q10 HTTP 200 con asientos DB 1101 / CR 2101. Con 1101 inactiva: HTTP 422 'No existe cuenta contable activa con codigo 1101 en contabilidad.plan_cuentas.' sin movimiento; 1101 restaurada.</t>
        </is>
      </c>
      <c r="J47" s="21" t="inlineStr">
        <is>
          <t>Pass</t>
        </is>
      </c>
      <c r="K47" s="21" t="inlineStr">
        <is>
          <t>N/A</t>
        </is>
      </c>
      <c r="L47" s="21" t="inlineStr">
        <is>
          <t>Resultados_Newman/Sergio/TC-REQ18-002_parte1_plan_completo.json, _parte2_1101_inactiva.json; Logs_Consola_Servidor/Verificaciones_SQL/TC-REQ18-002.txt</t>
        </is>
      </c>
      <c r="M47" s="15" t="inlineStr">
        <is>
          <t>—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Q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2" min="1" max="1"/>
    <col width="22" customWidth="1" style="12" min="2" max="2"/>
    <col width="18" customWidth="1" style="12" min="3" max="3"/>
    <col width="50" customWidth="1" style="12" min="4" max="4"/>
    <col width="20" customWidth="1" style="12" min="5" max="5"/>
    <col width="30" customWidth="1" style="12" min="6" max="6"/>
    <col width="11" customWidth="1" style="12" min="7" max="8"/>
    <col width="14" customWidth="1" style="12" min="9" max="10"/>
    <col width="45" customWidth="1" style="12" min="11" max="12"/>
    <col width="18" customWidth="1" style="13" min="13" max="13"/>
    <col width="60" customWidth="1" style="13" min="14" max="14"/>
    <col width="18" customWidth="1" style="13" min="15" max="15"/>
    <col width="60" customWidth="1" style="13" min="16" max="16"/>
    <col width="60" customWidth="1" style="13" min="17" max="17"/>
  </cols>
  <sheetData>
    <row r="1" ht="26.25" customHeight="1" s="13">
      <c r="A1" s="18" t="inlineStr">
        <is>
          <t>ID_Bug</t>
        </is>
      </c>
      <c r="B1" s="18" t="inlineStr">
        <is>
          <t>ID_Caso</t>
        </is>
      </c>
      <c r="C1" s="18" t="inlineStr">
        <is>
          <t>Modulo</t>
        </is>
      </c>
      <c r="D1" s="18" t="inlineStr">
        <is>
          <t>Titulo_del_Defecto</t>
        </is>
      </c>
      <c r="E1" s="18" t="inlineStr">
        <is>
          <t>Especialista_QA_Reporta</t>
        </is>
      </c>
      <c r="F1" s="18" t="inlineStr">
        <is>
          <t>Desarrollador_Asignado</t>
        </is>
      </c>
      <c r="G1" s="18" t="inlineStr">
        <is>
          <t>Severidad</t>
        </is>
      </c>
      <c r="H1" s="18" t="inlineStr">
        <is>
          <t>Prioridad</t>
        </is>
      </c>
      <c r="I1" s="18" t="inlineStr">
        <is>
          <t>Estado_Bug</t>
        </is>
      </c>
      <c r="J1" s="18" t="inlineStr">
        <is>
          <t>Fecha_Deteccion</t>
        </is>
      </c>
      <c r="K1" s="18" t="inlineStr">
        <is>
          <t>Evidencia_Adjunta</t>
        </is>
      </c>
      <c r="L1" s="18" t="inlineStr">
        <is>
          <t>Origen</t>
        </is>
      </c>
      <c r="M1" s="22" t="inlineStr">
        <is>
          <t>Fecha_Correccion</t>
        </is>
      </c>
      <c r="N1" s="22" t="inlineStr">
        <is>
          <t>Correccion_Aplicada</t>
        </is>
      </c>
      <c r="O1" s="22" t="inlineStr">
        <is>
          <t>Fecha_Re_Prueba</t>
        </is>
      </c>
      <c r="P1" s="22" t="inlineStr">
        <is>
          <t>Resultado_Re_Prueba</t>
        </is>
      </c>
      <c r="Q1" s="22" t="inlineStr">
        <is>
          <t>Evidencia_Re_Prueba</t>
        </is>
      </c>
    </row>
    <row r="2" ht="51.75" customHeight="1" s="13">
      <c r="A2" s="15" t="inlineStr">
        <is>
          <t>BUG-NEX-01</t>
        </is>
      </c>
      <c r="B2" s="15" t="inlineStr">
        <is>
          <t>TC-REQ03-002</t>
        </is>
      </c>
      <c r="C2" s="15" t="inlineStr">
        <is>
          <t>Seguridad y sesiones</t>
        </is>
      </c>
      <c r="D2" s="15" t="inlineStr">
        <is>
          <t>GET /api/ach/bancos devuelve la configuración ACH sin token (HTTP 200)</t>
        </is>
      </c>
      <c r="E2" s="15" t="inlineStr">
        <is>
          <t>Anderson Ariana</t>
        </is>
      </c>
      <c r="F2" s="15" t="inlineStr">
        <is>
          <t>Equipo de Desarrollo BancoERP (backend InternalAPI)</t>
        </is>
      </c>
      <c r="G2" s="15" t="inlineStr">
        <is>
          <t>Alta</t>
        </is>
      </c>
      <c r="H2" s="15" t="inlineStr">
        <is>
          <t>Alta</t>
        </is>
      </c>
      <c r="I2" s="15" t="inlineStr">
        <is>
          <t>Cerrado</t>
        </is>
      </c>
      <c r="J2" s="15" t="inlineStr">
        <is>
          <t>06/10/2026</t>
        </is>
      </c>
      <c r="K2" s="15" t="inlineStr">
        <is>
          <t>Capturas_Bugs/Evidencia_BUG01_Anderson.png (.txt); Logs_Consola_Servidor/BUG01_internal-api.log; Logs_Consola_Servidor/Readiness_Log.txt (OBS-01)</t>
        </is>
      </c>
      <c r="L2" s="15" t="inlineStr">
        <is>
          <t>Detectado por el script de readiness (observación OBS-01) en el entorno QA real; en la E3 se re-verificó como fila adicional P7 del Pairwise de TC-REQ03-002 (caso en Fail); TC-REQ13-002 solo lo observa fuera de su oráculo y queda en Pass. Confirmado en E3 el 19/10/2026: GET /api/ach/bancos y /activos sin token → HTTP 200; PATCH anónimo llega al servicio (404, no 401). Re-verificado tras la regresión P1: sigue abierto.</t>
        </is>
      </c>
      <c r="M2" s="17" t="inlineStr">
        <is>
          <t>22/10/2026</t>
        </is>
      </c>
      <c r="N2" s="17" t="inlineStr">
        <is>
          <t>[Authorize] en AchBancosController y [RequirePermission(ach.bancos.*)] en sus acciones administrativas (GET /activos solo exige sesión); [Authorize] en AchTransferenciasController; prueba unitaria InternalApiAuthorizationTests. Requiere 009_ach_seed.sql (en la secuencia de producción).</t>
        </is>
      </c>
      <c r="O2" s="17" t="inlineStr">
        <is>
          <t>22/10/2026</t>
        </is>
      </c>
      <c r="P2" s="17" t="inlineStr">
        <is>
          <t>Aprobada: 9 rutas sin token → 401; 5 roles sin permiso → 403; ADMIN/cajero/cliente → 200; Mongo sin cambios; TC-REQ03-002 6/6; unitarias 26/26 (16/26 sin corrección).</t>
        </is>
      </c>
      <c r="Q2" s="17" t="inlineStr">
        <is>
          <t>Re_Prueba_Cierre_E3/06_Capturas/Evidencia_Re_Prueba_BUG01_Luis.png; 03_Re_Prueba_Defectos/BUG-NEX-01; 02_Pruebas_Unitarias</t>
        </is>
      </c>
    </row>
    <row r="3" ht="15" customHeight="1" s="13">
      <c r="A3" s="21" t="inlineStr">
        <is>
          <t>BUG-NEX-02</t>
        </is>
      </c>
      <c r="B3" s="21" t="inlineStr">
        <is>
          <t>TC-REQ16-001</t>
        </is>
      </c>
      <c r="C3" s="21" t="inlineStr">
        <is>
          <t>Auditoría y reportes</t>
        </is>
      </c>
      <c r="D3" s="21" t="inlineStr">
        <is>
          <t>GET /api/reportes/resumen no contabiliza las transferencias ACH entrantes aprobadas (achAprobadas=0, montoAch=0)</t>
        </is>
      </c>
      <c r="E3" s="21" t="inlineStr">
        <is>
          <t>Luis Contreras</t>
        </is>
      </c>
      <c r="F3" s="21" t="inlineStr">
        <is>
          <t>Equipo de Desarrollo BancoERP (backend InternalAPI – ReporteService)</t>
        </is>
      </c>
      <c r="G3" s="21" t="inlineStr">
        <is>
          <t>Alta</t>
        </is>
      </c>
      <c r="H3" s="21" t="inlineStr">
        <is>
          <t>Media</t>
        </is>
      </c>
      <c r="I3" s="21" t="inlineStr">
        <is>
          <t>Cerrado</t>
        </is>
      </c>
      <c r="J3" s="21" t="inlineStr">
        <is>
          <t>19/10/2026</t>
        </is>
      </c>
      <c r="K3" s="21" t="inlineStr">
        <is>
          <t>Capturas_Bugs/Evidencia_BUG02_Luis.png (.txt); Logs_Consola_Servidor/BUG02_internal-api.log; Resultados_Newman/Luis/TC-REQ16-001.json</t>
        </is>
      </c>
      <c r="L3" s="21" t="inlineStr">
        <is>
          <t>Ejecución E3 de TC-REQ16-001 sobre la BD aislada bancoerp_e2_qa_rep01 (fixture REP-01).</t>
        </is>
      </c>
      <c r="M3" s="23" t="inlineStr">
        <is>
          <t>22/10/2026</t>
        </is>
      </c>
      <c r="N3" s="23" t="inlineStr">
        <is>
          <t>ReporteService: achSql y la serie de 7 días suman ach.transferencias y ach.transferencias_entrantes (UNION ALL). Oráculo de TC-REQ16-001 reforzado a 11 totales.</t>
        </is>
      </c>
      <c r="O3" s="23" t="inlineStr">
        <is>
          <t>22/10/2026</t>
        </is>
      </c>
      <c r="P3" s="23" t="inlineStr">
        <is>
          <t>Aprobada: TC-REQ16-001 14/14 aserciones (achAprobadas 1, montoAch 25); control cruzado API = SQL en la BD principal (3 ACH, Q525).</t>
        </is>
      </c>
      <c r="Q3" s="23" t="inlineStr">
        <is>
          <t>Re_Prueba_Cierre_E3/06_Capturas/Evidencia_Re_Prueba_BUG02_Luis.png; 03_Re_Prueba_Defectos/BUG-NEX-02</t>
        </is>
      </c>
    </row>
    <row r="4" ht="15" customHeight="1" s="13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</row>
    <row r="5" ht="15" customHeight="1" s="13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</row>
    <row r="6" ht="15" customHeight="1" s="13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</row>
    <row r="7" ht="15" customHeight="1" s="13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 ht="15" customHeight="1" s="13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</row>
    <row r="9" ht="15" customHeight="1" s="13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</row>
    <row r="10" ht="15" customHeight="1" s="13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</row>
    <row r="11" ht="15" customHeight="1" s="13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</row>
    <row r="12" ht="15" customHeight="1" s="13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</row>
    <row r="13" ht="15" customHeight="1" s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</row>
    <row r="14" ht="15" customHeight="1" s="13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</row>
    <row r="15" ht="15" customHeight="1" s="13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</row>
    <row r="16" ht="15" customHeight="1" s="13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 ht="15" customHeight="1" s="13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 ht="15" customHeight="1" s="13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</row>
    <row r="19" ht="15" customHeight="1" s="13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 ht="15" customHeight="1" s="13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1" ht="15" customHeight="1" s="13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15" customHeight="1" s="13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15" customHeight="1" s="1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15" customHeight="1" s="13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15" customHeight="1" s="13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15" customHeight="1" s="13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 ht="15" customHeight="1" s="13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</row>
    <row r="28" ht="15" customHeight="1" s="13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</row>
    <row r="29" ht="15" customHeight="1" s="13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</row>
    <row r="30" ht="15" customHeight="1" s="13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</row>
    <row r="31" ht="15" customHeight="1" s="13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</row>
    <row r="32" ht="15" customHeight="1" s="13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</row>
    <row r="33" ht="15" customHeight="1" s="1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</row>
    <row r="34" ht="15" customHeight="1" s="13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</row>
    <row r="35" ht="15" customHeight="1" s="13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</row>
    <row r="36" ht="15" customHeight="1" s="13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</row>
    <row r="37" ht="15" customHeight="1" s="13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</row>
    <row r="38" ht="15" customHeight="1" s="13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</row>
    <row r="39" ht="15" customHeight="1" s="13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</row>
    <row r="40" ht="15" customHeight="1" s="13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</row>
    <row r="41" ht="15" customHeight="1" s="13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</row>
  </sheetData>
  <dataValidations count="4">
    <dataValidation sqref="G2:G41" showDropDown="0" showInputMessage="0" showErrorMessage="0" allowBlank="1" type="list" errorStyle="stop" operator="between">
      <formula1>"Crítica,Alta,Media,Baja"</formula1>
      <formula2>0</formula2>
    </dataValidation>
    <dataValidation sqref="H2:H41" showDropDown="0" showInputMessage="0" showErrorMessage="0" allowBlank="1" type="list" errorStyle="stop" operator="between">
      <formula1>"Alta,Media,Baja"</formula1>
      <formula2>0</formula2>
    </dataValidation>
    <dataValidation sqref="I2:I41" showDropDown="0" showInputMessage="0" showErrorMessage="0" allowBlank="1" type="list" errorStyle="stop" operator="between">
      <formula1>"Nuevo,Abierto,Asignado,Corregido,En re-prueba,Cerrado,Reabierto"</formula1>
      <formula2>0</formula2>
    </dataValidation>
    <dataValidation sqref="C2:C41" showDropDown="0" showInputMessage="0" showErrorMessage="0" allowBlank="1" type="list" errorStyle="stop" operator="between">
      <formula1>"Seguridad y sesiones,Clientes,Cuentas,Caja,Transacciones,Portal del cliente,ACH,Auditoría y reportes,Dependencias de datos"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2" min="1" max="1"/>
    <col width="110" customWidth="1" style="12" min="2" max="2"/>
  </cols>
  <sheetData>
    <row r="1" ht="15" customHeight="1" s="13">
      <c r="A1" s="18" t="inlineStr">
        <is>
          <t>Campo</t>
        </is>
      </c>
      <c r="B1" s="18" t="inlineStr">
        <is>
          <t>Detalle</t>
        </is>
      </c>
    </row>
    <row r="2" ht="15" customHeight="1" s="13">
      <c r="A2" s="14" t="inlineStr">
        <is>
          <t>ID Defecto</t>
        </is>
      </c>
      <c r="B2" s="15" t="inlineStr">
        <is>
          <t>BUG-NEX-01</t>
        </is>
      </c>
    </row>
    <row r="3" ht="15" customHeight="1" s="13">
      <c r="A3" s="14" t="inlineStr">
        <is>
          <t>Título</t>
        </is>
      </c>
      <c r="B3" s="15" t="inlineStr">
        <is>
          <t>GET /api/ach/bancos devuelve la configuración ACH sin token (HTTP 200)</t>
        </is>
      </c>
    </row>
    <row r="4" ht="26.25" customHeight="1" s="13">
      <c r="A4" s="14" t="inlineStr">
        <is>
          <t>Especialista QA Reportador</t>
        </is>
      </c>
      <c r="B4" s="15" t="inlineStr">
        <is>
          <t>Anderson Ariana</t>
        </is>
      </c>
    </row>
    <row r="5" ht="15" customHeight="1" s="13">
      <c r="A5" s="14" t="inlineStr">
        <is>
          <t>Desarrollador asignado</t>
        </is>
      </c>
      <c r="B5" s="15" t="inlineStr">
        <is>
          <t>Equipo de Desarrollo BancoERP (backend InternalAPI)</t>
        </is>
      </c>
    </row>
    <row r="6" ht="15" customHeight="1" s="13">
      <c r="A6" s="14" t="inlineStr">
        <is>
          <t>Fecha de detección</t>
        </is>
      </c>
      <c r="B6" s="15" t="inlineStr">
        <is>
          <t>06/10/2026</t>
        </is>
      </c>
    </row>
    <row r="7" ht="15" customHeight="1" s="13">
      <c r="A7" s="14" t="inlineStr">
        <is>
          <t>Severidad / Prioridad</t>
        </is>
      </c>
      <c r="B7" s="15" t="inlineStr">
        <is>
          <t>Alta / Alta</t>
        </is>
      </c>
    </row>
    <row r="8" ht="15" customHeight="1" s="13">
      <c r="A8" s="14" t="inlineStr">
        <is>
          <t>Estado</t>
        </is>
      </c>
      <c r="B8" s="15" t="inlineStr">
        <is>
          <t>Cerrado — 22/10/2026 (re-prueba aprobada y regresión completa sin fallos)</t>
        </is>
      </c>
    </row>
    <row r="9" ht="15" customHeight="1" s="13">
      <c r="A9" s="14" t="inlineStr">
        <is>
          <t>Ambiente de prueba</t>
        </is>
      </c>
      <c r="B9" s="15" t="inlineStr">
        <is>
          <t>QA local docker-compose.qa.yml · InternalAPI http://localhost:15141 · BD bancoerp_e2_qa · baseline 28f3faf</t>
        </is>
      </c>
    </row>
    <row r="10" ht="26.25" customHeight="1" s="13">
      <c r="A10" s="14" t="inlineStr">
        <is>
          <t>Precondiciones</t>
        </is>
      </c>
      <c r="B10" s="15" t="inlineStr">
        <is>
          <t>Entorno QA levantado; existen bancos ACH configurados en MongoDB (5 bancos simulados E2_QA_*). Sin encabezado Authorization.</t>
        </is>
      </c>
    </row>
    <row r="11" ht="39" customHeight="1" s="13">
      <c r="A11" s="14" t="inlineStr">
        <is>
          <t>Pasos para reproducir</t>
        </is>
      </c>
      <c r="B11" s="15" t="inlineStr">
        <is>
          <t>1. Abrir Postman (o curl) sin token ni encabezado Authorization.
2. Enviar GET http://localhost:15141/api/ach/bancos.
3. Observar el código HTTP y el cuerpo de la respuesta.</t>
        </is>
      </c>
    </row>
    <row r="12" ht="26.25" customHeight="1" s="13">
      <c r="A12" s="14" t="inlineStr">
        <is>
          <t>Resultado esperado</t>
        </is>
      </c>
      <c r="B12" s="15" t="inlineStr">
        <is>
          <t>HTTP 401: la configuración ACH requiere JWT; sin token no se devuelve ningún dato (regla de autorización REQ-03 y decisión de configuración ACH con permiso administrativo).</t>
        </is>
      </c>
    </row>
    <row r="13" ht="26.25" customHeight="1" s="13">
      <c r="A13" s="14" t="inlineStr">
        <is>
          <t>Resultado obtenido</t>
        </is>
      </c>
      <c r="B13" s="15" t="inlineStr">
        <is>
          <t>HTTP 200 con el listado completo de bancos ACH: id, código, apiBaseUrl, apiEndpoint, authEmail, authPassword (null en el fixture) y estructura de payload. El esquema expone campos de credenciales a usuarios no autenticados.</t>
        </is>
      </c>
    </row>
    <row r="14" ht="26.25" customHeight="1" s="13">
      <c r="A14" s="14" t="inlineStr">
        <is>
          <t>Impacto</t>
        </is>
      </c>
      <c r="B14" s="15" t="inlineStr">
        <is>
          <t>Exposición de configuración de integración interbancaria a cualquier cliente de red; si un banco real guarda credenciales, quedarían visibles.</t>
        </is>
      </c>
    </row>
    <row r="15" ht="15" customHeight="1" s="13">
      <c r="A15" s="14" t="inlineStr">
        <is>
          <t>Evidencia adjunta</t>
        </is>
      </c>
      <c r="B15" s="15" t="inlineStr">
        <is>
          <t>Capturas_Bugs/Evidencia_BUG01_Anderson.png y .txt (confirmación 19/10/2026); Logs_Consola_Servidor/BUG01_internal-api.log; Readiness_Log.txt (OBS-01)</t>
        </is>
      </c>
    </row>
    <row r="16" ht="26.25" customHeight="1" s="13">
      <c r="A16" s="14" t="inlineStr">
        <is>
          <t>Origen</t>
        </is>
      </c>
      <c r="B16" s="15" t="inlineStr">
        <is>
          <t>Detectado por el script de readiness (observación OBS-01) en el entorno QA real; en la E3 se re-verificó como fila adicional P7 del Pairwise de TC-REQ03-002 (caso en Fail); TC-REQ13-002 solo lo observa fuera de su oráculo y queda en Pass. Confirmado en E3 (19/10/2026) por Anderson Ariana; alcance: las 7 acciones de AchBancosController carecen de [Authorize].</t>
        </is>
      </c>
    </row>
    <row r="17">
      <c r="A17" s="16" t="inlineStr">
        <is>
          <t>Causa raíz</t>
        </is>
      </c>
      <c r="B17" s="17" t="inlineStr">
        <is>
          <t>AchBancosController no declaraba [Authorize] ni permisos en sus 7 acciones; AchTransferenciasController tampoco tenía [Authorize].</t>
        </is>
      </c>
    </row>
    <row r="18" ht="15" customHeight="1" s="13">
      <c r="A18" s="16" t="inlineStr">
        <is>
          <t>Corrección aplicada</t>
        </is>
      </c>
      <c r="B18" s="17" t="inlineStr">
        <is>
          <t>[Authorize] en AchBancosController y [RequirePermission(ach.bancos.*)] en sus acciones administrativas (GET /activos solo exige sesión); [Authorize] en AchTransferenciasController; prueba unitaria InternalApiAuthorizationTests. Requiere 009_ach_seed.sql (en la secuencia de producción).</t>
        </is>
      </c>
    </row>
    <row r="19">
      <c r="A19" s="16" t="inlineStr">
        <is>
          <t>Re-prueba (22/10/2026)</t>
        </is>
      </c>
      <c r="B19" s="17" t="inlineStr">
        <is>
          <t>Aprobada: 9 rutas sin token → 401; 5 roles sin permiso → 403; ADMIN/cajero/cliente → 200; Mongo sin cambios; TC-REQ03-002 6/6; unitarias 26/26 (16/26 sin corrección).</t>
        </is>
      </c>
    </row>
    <row r="20" ht="15" customHeight="1" s="13">
      <c r="A20" s="16" t="inlineStr">
        <is>
          <t>Evidencia de cierre</t>
        </is>
      </c>
      <c r="B20" s="17" t="inlineStr">
        <is>
          <t>Re_Prueba_Cierre_E3/06_Capturas/Evidencia_Re_Prueba_BUG01_Luis.png; 03_Re_Prueba_Defectos/BUG-NEX-01; 02_Pruebas_Unitarias</t>
        </is>
      </c>
    </row>
    <row r="21" ht="15" customHeight="1" s="13"/>
    <row r="22" ht="26.25" customHeight="1" s="13">
      <c r="A22" s="14" t="inlineStr">
        <is>
          <t>Nuevas fichas</t>
        </is>
      </c>
      <c r="B22" s="21" t="inlineStr">
        <is>
          <t>Copiar el bloque anterior por cada BUG-NEX-0X registrado en Bug_Tracker.</t>
        </is>
      </c>
    </row>
    <row r="23" ht="15" customHeight="1" s="13"/>
    <row r="24" ht="15" customHeight="1" s="13">
      <c r="A24" s="14" t="inlineStr">
        <is>
          <t>ID Defecto</t>
        </is>
      </c>
      <c r="B24" s="15" t="inlineStr">
        <is>
          <t>BUG-NEX-02</t>
        </is>
      </c>
    </row>
    <row r="25" ht="15" customHeight="1" s="13">
      <c r="A25" s="14" t="inlineStr">
        <is>
          <t>Título</t>
        </is>
      </c>
      <c r="B25" s="15" t="inlineStr">
        <is>
          <t>GET /api/reportes/resumen no contabiliza las transferencias ACH entrantes aprobadas (achAprobadas=0, montoAch=0)</t>
        </is>
      </c>
    </row>
    <row r="26" ht="15" customHeight="1" s="13">
      <c r="A26" s="14" t="inlineStr">
        <is>
          <t>Especialista QA Reportador</t>
        </is>
      </c>
      <c r="B26" s="15" t="inlineStr">
        <is>
          <t>Luis Contreras</t>
        </is>
      </c>
    </row>
    <row r="27" ht="15" customHeight="1" s="13">
      <c r="A27" s="14" t="inlineStr">
        <is>
          <t>Desarrollador asignado</t>
        </is>
      </c>
      <c r="B27" s="15" t="inlineStr">
        <is>
          <t>Equipo de Desarrollo BancoERP (backend InternalAPI – ReporteService)</t>
        </is>
      </c>
    </row>
    <row r="28" ht="26.25" customHeight="1" s="13">
      <c r="A28" s="14" t="inlineStr">
        <is>
          <t>Fecha de detección</t>
        </is>
      </c>
      <c r="B28" s="15" t="inlineStr">
        <is>
          <t>19/10/2026</t>
        </is>
      </c>
    </row>
    <row r="29" ht="39" customHeight="1" s="13">
      <c r="A29" s="14" t="inlineStr">
        <is>
          <t>Severidad / Prioridad</t>
        </is>
      </c>
      <c r="B29" s="15" t="inlineStr">
        <is>
          <t>Alta / Media</t>
        </is>
      </c>
    </row>
    <row r="30" ht="26.25" customHeight="1" s="13">
      <c r="A30" s="14" t="inlineStr">
        <is>
          <t>Estado</t>
        </is>
      </c>
      <c r="B30" s="15" t="inlineStr">
        <is>
          <t>Cerrado — 22/10/2026 (re-prueba aprobada y regresión completa sin fallos)</t>
        </is>
      </c>
    </row>
    <row r="31" ht="26.25" customHeight="1" s="13">
      <c r="A31" s="14" t="inlineStr">
        <is>
          <t>Ambiente de prueba</t>
        </is>
      </c>
      <c r="B31" s="15" t="inlineStr">
        <is>
          <t>QA local docker-compose.qa.yml · InternalAPI http://localhost:15141 y PublicAPI http://localhost:15254 apuntando a bancoerp_e2_qa_rep01 · baseline 28f3faf + cambios locales</t>
        </is>
      </c>
    </row>
    <row r="32" ht="26.25" customHeight="1" s="13">
      <c r="A32" s="14" t="inlineStr">
        <is>
          <t>Precondiciones</t>
        </is>
      </c>
      <c r="B32" s="15" t="inlineStr">
        <is>
          <t>BD bancoerp_e2_qa_rep01 con MockData_Fixture_REP01.sql (2 clientes, 3 cuentas, saldo activo Q3975.00); tokens de qa_cajero (caja abierta), qa_banco_externo y qa_admin; banco QA_NEXUS activo.</t>
        </is>
      </c>
    </row>
    <row r="33" ht="15" customHeight="1" s="13">
      <c r="A33" s="14" t="inlineStr">
        <is>
          <t>Pasos para reproducir</t>
        </is>
      </c>
      <c r="B33" s="15" t="inlineStr">
        <is>
          <t>1. POST /api/transacciones/transferencia (qa_cajero) Q200 AH261002000301 → MO261002000302.
2. POST :15254/api/external/ach/transferencias (qa_banco_externo) Q25 a MO261002000302, código E2-REP01-ACH-001.
3. GET /api/reportes/resumen con qa_admin.
4. Comparar con REP01_Totales_Esperados.json y con ach.transferencias_entrantes.</t>
        </is>
      </c>
    </row>
    <row r="34" ht="26.25" customHeight="1" s="13">
      <c r="A34" s="14" t="inlineStr">
        <is>
          <t>Resultado esperado</t>
        </is>
      </c>
      <c r="B34" s="15" t="inlineStr">
        <is>
          <t>Todos los totales coinciden con el fixture: achAprobadas = 1 y montoAchAprobado = Q25.00 (además de clientes 2/1/1, cuentas 3/2, saldo Q4000.00 y 1 transferencia interna de Q200).</t>
        </is>
      </c>
    </row>
    <row r="35">
      <c r="A35" s="14" t="inlineStr">
        <is>
          <t>Resultado obtenido</t>
        </is>
      </c>
      <c r="B35" s="15" t="inlineStr">
        <is>
          <t>HTTP 200 con achAprobadas = 0, totalAch = 0 y montoAch = 0. El ACH entrante sí quedó APROBADO en ach.transferencias_entrantes y acreditó Q25 (por eso saldoTotal = Q4000.00). La consulta achSql de ReporteService.cs (líneas 50-57) solo lee ach.transferencias (salientes).</t>
        </is>
      </c>
    </row>
    <row r="36">
      <c r="A36" s="14" t="inlineStr">
        <is>
          <t>Impacto</t>
        </is>
      </c>
      <c r="B36" s="15" t="inlineStr">
        <is>
          <t>El reporte gerencial subestima la actividad ACH: todo ingreso interbancario queda fuera de los totales, por lo que conciliaciones y decisiones basadas en el resumen usan cifras incompletas (no altera saldos).</t>
        </is>
      </c>
    </row>
    <row r="37">
      <c r="A37" s="14" t="inlineStr">
        <is>
          <t>Evidencia adjunta</t>
        </is>
      </c>
      <c r="B37" s="15" t="inlineStr">
        <is>
          <t>Capturas_Bugs/Evidencia_BUG02_Luis.png (.txt); Logs_Consola_Servidor/BUG02_internal-api.log; Resultados_Newman/Luis/TC-REQ16-001.json</t>
        </is>
      </c>
    </row>
    <row r="38">
      <c r="A38" s="14" t="inlineStr">
        <is>
          <t>Origen</t>
        </is>
      </c>
      <c r="B38" s="15" t="inlineStr">
        <is>
          <t>Ejecución E3 de TC-REQ16-001 sobre la BD aislada bancoerp_e2_qa_rep01 (fixture REP-01).</t>
        </is>
      </c>
    </row>
    <row r="39">
      <c r="A39" s="16" t="inlineStr">
        <is>
          <t>Causa raíz</t>
        </is>
      </c>
      <c r="B39" s="17" t="inlineStr">
        <is>
          <t>achSql de ReporteService.ObtenerResumenAsync solo leía ach.transferencias (salientes); las entrantes están en ach.transferencias_entrantes.</t>
        </is>
      </c>
    </row>
    <row r="40">
      <c r="A40" s="16" t="inlineStr">
        <is>
          <t>Corrección aplicada</t>
        </is>
      </c>
      <c r="B40" s="17" t="inlineStr">
        <is>
          <t>ReporteService: achSql y la serie de 7 días suman ach.transferencias y ach.transferencias_entrantes (UNION ALL). Oráculo de TC-REQ16-001 reforzado a 11 totales.</t>
        </is>
      </c>
    </row>
    <row r="41">
      <c r="A41" s="16" t="inlineStr">
        <is>
          <t>Re-prueba (22/10/2026)</t>
        </is>
      </c>
      <c r="B41" s="17" t="inlineStr">
        <is>
          <t>Aprobada: TC-REQ16-001 14/14 aserciones (achAprobadas 1, montoAch 25); control cruzado API = SQL en la BD principal (3 ACH, Q525).</t>
        </is>
      </c>
    </row>
    <row r="42">
      <c r="A42" s="16" t="inlineStr">
        <is>
          <t>Evidencia de cierre</t>
        </is>
      </c>
      <c r="B42" s="17" t="inlineStr">
        <is>
          <t>Re_Prueba_Cierre_E3/06_Capturas/Evidencia_Re_Prueba_BUG02_Luis.png; 03_Re_Prueba_Defectos/BUG-NEX-02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6" customWidth="1" style="12" min="1" max="1"/>
    <col width="14" customWidth="1" style="12" min="2" max="2"/>
    <col width="70" customWidth="1" style="12" min="3" max="3"/>
    <col width="24" customWidth="1" style="12" min="4" max="4"/>
    <col width="10" customWidth="1" style="12" min="5" max="6"/>
  </cols>
  <sheetData>
    <row r="1" ht="15" customHeight="1" s="13">
      <c r="A1" s="18" t="inlineStr">
        <is>
          <t>Métrica</t>
        </is>
      </c>
      <c r="B1" s="18" t="inlineStr">
        <is>
          <t>Valor</t>
        </is>
      </c>
      <c r="C1" s="18" t="inlineStr">
        <is>
          <t>Fórmula / nota</t>
        </is>
      </c>
    </row>
    <row r="2" ht="15" customHeight="1" s="13">
      <c r="A2" s="14" t="inlineStr">
        <is>
          <t>Casos planificados</t>
        </is>
      </c>
      <c r="B2" s="19">
        <f>COUNTA(Log_Ejecucion!$A$2:$A$47)</f>
        <v/>
      </c>
      <c r="C2" s="15" t="inlineStr">
        <is>
          <t>Total de casos del repositorio E2</t>
        </is>
      </c>
    </row>
    <row r="3" ht="15" customHeight="1" s="13">
      <c r="A3" s="14" t="inlineStr">
        <is>
          <t>Pass</t>
        </is>
      </c>
      <c r="B3" s="19">
        <f>COUNTIF(Log_Ejecucion!$J$2:$J$47,"Pass")</f>
        <v/>
      </c>
      <c r="C3" s="15" t="n"/>
    </row>
    <row r="4" ht="15" customHeight="1" s="13">
      <c r="A4" s="14" t="inlineStr">
        <is>
          <t>Fail</t>
        </is>
      </c>
      <c r="B4" s="19">
        <f>COUNTIF(Log_Ejecucion!$J$2:$J$47,"Fail")</f>
        <v/>
      </c>
      <c r="C4" s="15" t="n"/>
    </row>
    <row r="5" ht="15" customHeight="1" s="13">
      <c r="A5" s="14" t="inlineStr">
        <is>
          <t>Blocked</t>
        </is>
      </c>
      <c r="B5" s="19">
        <f>COUNTIF(Log_Ejecucion!$J$2:$J$47,"Blocked")</f>
        <v/>
      </c>
      <c r="C5" s="15" t="n"/>
    </row>
    <row r="6" ht="15" customHeight="1" s="13">
      <c r="A6" s="14" t="inlineStr">
        <is>
          <t>Skipped</t>
        </is>
      </c>
      <c r="B6" s="19">
        <f>COUNTIF(Log_Ejecucion!$J$2:$J$47,"Skipped")</f>
        <v/>
      </c>
      <c r="C6" s="15" t="n"/>
    </row>
    <row r="7" ht="15" customHeight="1" s="13">
      <c r="A7" s="14" t="inlineStr">
        <is>
          <t>Pendientes</t>
        </is>
      </c>
      <c r="B7" s="19">
        <f>COUNTIF(Log_Ejecucion!$J$2:$J$47,"Pendiente")</f>
        <v/>
      </c>
      <c r="C7" s="15" t="n"/>
    </row>
    <row r="8" ht="15" customHeight="1" s="13">
      <c r="A8" s="14" t="inlineStr">
        <is>
          <t>Casos ejecutados</t>
        </is>
      </c>
      <c r="B8" s="19">
        <f>B3+B4</f>
        <v/>
      </c>
      <c r="C8" s="15" t="inlineStr">
        <is>
          <t>Pass + Fail</t>
        </is>
      </c>
    </row>
    <row r="9" ht="15" customHeight="1" s="13">
      <c r="A9" s="14" t="inlineStr">
        <is>
          <t>Porcentaje de ejecución</t>
        </is>
      </c>
      <c r="B9" s="24">
        <f>IF(B2=0,0,B8/B2)</f>
        <v/>
      </c>
      <c r="C9" s="15" t="inlineStr">
        <is>
          <t>Ejecutados / Planificados</t>
        </is>
      </c>
    </row>
    <row r="10" ht="15" customHeight="1" s="13">
      <c r="A10" s="14" t="inlineStr">
        <is>
          <t>Tasa de éxito (Pass Rate)</t>
        </is>
      </c>
      <c r="B10" s="24">
        <f>IF(B8=0,0,B3/B8)</f>
        <v/>
      </c>
      <c r="C10" s="15" t="inlineStr">
        <is>
          <t>Pass / Ejecutados</t>
        </is>
      </c>
    </row>
    <row r="11" ht="15" customHeight="1" s="13">
      <c r="A11" s="14" t="inlineStr">
        <is>
          <t>Casos P1 planificados</t>
        </is>
      </c>
      <c r="B11" s="19">
        <f>COUNTIF(Log_Ejecucion!$E$2:$E$47,"Sí")</f>
        <v/>
      </c>
      <c r="C11" s="15" t="inlineStr">
        <is>
          <t>Casos de REQ con prioridad Crítica en E1</t>
        </is>
      </c>
    </row>
    <row r="12" ht="15" customHeight="1" s="13">
      <c r="A12" s="14" t="inlineStr">
        <is>
          <t>Casos P1 ejecutados</t>
        </is>
      </c>
      <c r="B12" s="19">
        <f>COUNTIFS(Log_Ejecucion!$E$2:$E$47,"Sí",Log_Ejecucion!$J$2:$J$47,"Pass")+COUNTIFS(Log_Ejecucion!$E$2:$E$47,"Sí",Log_Ejecucion!$J$2:$J$47,"Fail")</f>
        <v/>
      </c>
      <c r="C12" s="15" t="n"/>
    </row>
    <row r="13" ht="15" customHeight="1" s="13">
      <c r="A13" s="14" t="inlineStr">
        <is>
          <t>Porcentaje P1 ejecutado</t>
        </is>
      </c>
      <c r="B13" s="24">
        <f>IF(B11=0,0,B12/B11)</f>
        <v/>
      </c>
      <c r="C13" s="15" t="n"/>
    </row>
    <row r="14" ht="15" customHeight="1" s="13">
      <c r="A14" s="14" t="inlineStr">
        <is>
          <t>Defectos registrados</t>
        </is>
      </c>
      <c r="B14" s="19">
        <f>COUNTA(Bug_Tracker!$A$2:$A$41)</f>
        <v/>
      </c>
      <c r="C14" s="15" t="n"/>
    </row>
    <row r="15" ht="15" customHeight="1" s="13">
      <c r="A15" s="14" t="inlineStr">
        <is>
          <t>Defectos Críticos abiertos</t>
        </is>
      </c>
      <c r="B15" s="19">
        <f>COUNTIFS(Bug_Tracker!$G$2:$G$41,"Crítica",Bug_Tracker!$I$2:$I$41,"&lt;&gt;Cerrado")</f>
        <v/>
      </c>
      <c r="C15" s="15" t="inlineStr">
        <is>
          <t>Abierto = cualquier estado distinto de Cerrado</t>
        </is>
      </c>
    </row>
    <row r="16" ht="15" customHeight="1" s="13">
      <c r="A16" s="14" t="inlineStr">
        <is>
          <t>Defectos Altos abiertos</t>
        </is>
      </c>
      <c r="B16" s="19">
        <f>COUNTIFS(Bug_Tracker!$G$2:$G$41,"Alta",Bug_Tracker!$I$2:$I$41,"&lt;&gt;Cerrado")</f>
        <v/>
      </c>
      <c r="C16" s="15" t="n"/>
    </row>
    <row r="17" ht="15" customHeight="1" s="13">
      <c r="A17" s="14" t="inlineStr">
        <is>
          <t>Defectos Medios abiertos</t>
        </is>
      </c>
      <c r="B17" s="19">
        <f>COUNTIFS(Bug_Tracker!$G$2:$G$41,"Media",Bug_Tracker!$I$2:$I$41,"&lt;&gt;Cerrado")</f>
        <v/>
      </c>
      <c r="C17" s="15" t="n"/>
    </row>
    <row r="18" ht="15" customHeight="1" s="13">
      <c r="A18" s="14" t="inlineStr">
        <is>
          <t>Defectos Bajos abiertos</t>
        </is>
      </c>
      <c r="B18" s="19">
        <f>COUNTIFS(Bug_Tracker!$G$2:$G$41,"Baja",Bug_Tracker!$I$2:$I$41,"&lt;&gt;Cerrado")</f>
        <v/>
      </c>
      <c r="C18" s="15" t="n"/>
    </row>
    <row r="19" ht="15" customHeight="1" s="13">
      <c r="A19" s="14" t="inlineStr">
        <is>
          <t>Defectos cerrados</t>
        </is>
      </c>
      <c r="B19" s="19">
        <f>COUNTIF(Bug_Tracker!$I$2:$I$41,"Cerrado")</f>
        <v/>
      </c>
      <c r="C19" s="15" t="n"/>
    </row>
    <row r="20" ht="15" customHeight="1" s="13">
      <c r="A20" s="14" t="inlineStr">
        <is>
          <t>Densidad global (defectos / caso)</t>
        </is>
      </c>
      <c r="B20" s="25">
        <f>IF(B2=0,0,B14/B2)</f>
        <v/>
      </c>
      <c r="C20" s="15" t="n"/>
    </row>
    <row r="22" ht="15" customHeight="1" s="13">
      <c r="A22" s="26" t="inlineStr">
        <is>
          <t>Módulo</t>
        </is>
      </c>
      <c r="B22" s="26" t="inlineStr">
        <is>
          <t>Casos</t>
        </is>
      </c>
      <c r="C22" s="26" t="inlineStr">
        <is>
          <t>Defectos</t>
        </is>
      </c>
      <c r="D22" s="26" t="inlineStr">
        <is>
          <t>Densidad (defectos / caso)</t>
        </is>
      </c>
      <c r="E22" s="26" t="inlineStr">
        <is>
          <t>Pass</t>
        </is>
      </c>
      <c r="F22" s="26" t="inlineStr">
        <is>
          <t>Fail</t>
        </is>
      </c>
    </row>
    <row r="23" ht="15" customHeight="1" s="13">
      <c r="A23" s="14" t="inlineStr">
        <is>
          <t>Seguridad y sesiones</t>
        </is>
      </c>
      <c r="B23" s="19">
        <f>COUNTIF(Log_Ejecucion!$D$2:$D$47,A23)</f>
        <v/>
      </c>
      <c r="C23" s="19">
        <f>COUNTIF(Bug_Tracker!$C$2:$C$41,A23)</f>
        <v/>
      </c>
      <c r="D23" s="25">
        <f>IF(B23=0,0,C23/B23)</f>
        <v/>
      </c>
      <c r="E23" s="19">
        <f>COUNTIFS(Log_Ejecucion!$D$2:$D$47,A23,Log_Ejecucion!$J$2:$J$47,"Pass")</f>
        <v/>
      </c>
      <c r="F23" s="19">
        <f>COUNTIFS(Log_Ejecucion!$D$2:$D$47,A23,Log_Ejecucion!$J$2:$J$47,"Fail")</f>
        <v/>
      </c>
    </row>
    <row r="24" ht="15" customHeight="1" s="13">
      <c r="A24" s="14" t="inlineStr">
        <is>
          <t>Clientes</t>
        </is>
      </c>
      <c r="B24" s="19">
        <f>COUNTIF(Log_Ejecucion!$D$2:$D$47,A24)</f>
        <v/>
      </c>
      <c r="C24" s="19">
        <f>COUNTIF(Bug_Tracker!$C$2:$C$41,A24)</f>
        <v/>
      </c>
      <c r="D24" s="25">
        <f>IF(B24=0,0,C24/B24)</f>
        <v/>
      </c>
      <c r="E24" s="19">
        <f>COUNTIFS(Log_Ejecucion!$D$2:$D$47,A24,Log_Ejecucion!$J$2:$J$47,"Pass")</f>
        <v/>
      </c>
      <c r="F24" s="19">
        <f>COUNTIFS(Log_Ejecucion!$D$2:$D$47,A24,Log_Ejecucion!$J$2:$J$47,"Fail")</f>
        <v/>
      </c>
    </row>
    <row r="25" ht="15" customHeight="1" s="13">
      <c r="A25" s="14" t="inlineStr">
        <is>
          <t>Cuentas</t>
        </is>
      </c>
      <c r="B25" s="19">
        <f>COUNTIF(Log_Ejecucion!$D$2:$D$47,A25)</f>
        <v/>
      </c>
      <c r="C25" s="19">
        <f>COUNTIF(Bug_Tracker!$C$2:$C$41,A25)</f>
        <v/>
      </c>
      <c r="D25" s="25">
        <f>IF(B25=0,0,C25/B25)</f>
        <v/>
      </c>
      <c r="E25" s="19">
        <f>COUNTIFS(Log_Ejecucion!$D$2:$D$47,A25,Log_Ejecucion!$J$2:$J$47,"Pass")</f>
        <v/>
      </c>
      <c r="F25" s="19">
        <f>COUNTIFS(Log_Ejecucion!$D$2:$D$47,A25,Log_Ejecucion!$J$2:$J$47,"Fail")</f>
        <v/>
      </c>
    </row>
    <row r="26" ht="15" customHeight="1" s="13">
      <c r="A26" s="14" t="inlineStr">
        <is>
          <t>Caja</t>
        </is>
      </c>
      <c r="B26" s="19">
        <f>COUNTIF(Log_Ejecucion!$D$2:$D$47,A26)</f>
        <v/>
      </c>
      <c r="C26" s="19">
        <f>COUNTIF(Bug_Tracker!$C$2:$C$41,A26)</f>
        <v/>
      </c>
      <c r="D26" s="25">
        <f>IF(B26=0,0,C26/B26)</f>
        <v/>
      </c>
      <c r="E26" s="19">
        <f>COUNTIFS(Log_Ejecucion!$D$2:$D$47,A26,Log_Ejecucion!$J$2:$J$47,"Pass")</f>
        <v/>
      </c>
      <c r="F26" s="19">
        <f>COUNTIFS(Log_Ejecucion!$D$2:$D$47,A26,Log_Ejecucion!$J$2:$J$47,"Fail")</f>
        <v/>
      </c>
    </row>
    <row r="27" ht="15" customHeight="1" s="13">
      <c r="A27" s="14" t="inlineStr">
        <is>
          <t>Transacciones</t>
        </is>
      </c>
      <c r="B27" s="19">
        <f>COUNTIF(Log_Ejecucion!$D$2:$D$47,A27)</f>
        <v/>
      </c>
      <c r="C27" s="19">
        <f>COUNTIF(Bug_Tracker!$C$2:$C$41,A27)</f>
        <v/>
      </c>
      <c r="D27" s="25">
        <f>IF(B27=0,0,C27/B27)</f>
        <v/>
      </c>
      <c r="E27" s="19">
        <f>COUNTIFS(Log_Ejecucion!$D$2:$D$47,A27,Log_Ejecucion!$J$2:$J$47,"Pass")</f>
        <v/>
      </c>
      <c r="F27" s="19">
        <f>COUNTIFS(Log_Ejecucion!$D$2:$D$47,A27,Log_Ejecucion!$J$2:$J$47,"Fail")</f>
        <v/>
      </c>
    </row>
    <row r="28" ht="15" customHeight="1" s="13">
      <c r="A28" s="14" t="inlineStr">
        <is>
          <t>Portal del cliente</t>
        </is>
      </c>
      <c r="B28" s="19">
        <f>COUNTIF(Log_Ejecucion!$D$2:$D$47,A28)</f>
        <v/>
      </c>
      <c r="C28" s="19">
        <f>COUNTIF(Bug_Tracker!$C$2:$C$41,A28)</f>
        <v/>
      </c>
      <c r="D28" s="25">
        <f>IF(B28=0,0,C28/B28)</f>
        <v/>
      </c>
      <c r="E28" s="19">
        <f>COUNTIFS(Log_Ejecucion!$D$2:$D$47,A28,Log_Ejecucion!$J$2:$J$47,"Pass")</f>
        <v/>
      </c>
      <c r="F28" s="19">
        <f>COUNTIFS(Log_Ejecucion!$D$2:$D$47,A28,Log_Ejecucion!$J$2:$J$47,"Fail")</f>
        <v/>
      </c>
    </row>
    <row r="29" ht="15" customHeight="1" s="13">
      <c r="A29" s="14" t="inlineStr">
        <is>
          <t>ACH</t>
        </is>
      </c>
      <c r="B29" s="19">
        <f>COUNTIF(Log_Ejecucion!$D$2:$D$47,A29)</f>
        <v/>
      </c>
      <c r="C29" s="19">
        <f>COUNTIF(Bug_Tracker!$C$2:$C$41,A29)</f>
        <v/>
      </c>
      <c r="D29" s="25">
        <f>IF(B29=0,0,C29/B29)</f>
        <v/>
      </c>
      <c r="E29" s="19">
        <f>COUNTIFS(Log_Ejecucion!$D$2:$D$47,A29,Log_Ejecucion!$J$2:$J$47,"Pass")</f>
        <v/>
      </c>
      <c r="F29" s="19">
        <f>COUNTIFS(Log_Ejecucion!$D$2:$D$47,A29,Log_Ejecucion!$J$2:$J$47,"Fail")</f>
        <v/>
      </c>
    </row>
    <row r="30" ht="15" customHeight="1" s="13">
      <c r="A30" s="14" t="inlineStr">
        <is>
          <t>Auditoría y reportes</t>
        </is>
      </c>
      <c r="B30" s="19">
        <f>COUNTIF(Log_Ejecucion!$D$2:$D$47,A30)</f>
        <v/>
      </c>
      <c r="C30" s="19">
        <f>COUNTIF(Bug_Tracker!$C$2:$C$41,A30)</f>
        <v/>
      </c>
      <c r="D30" s="25">
        <f>IF(B30=0,0,C30/B30)</f>
        <v/>
      </c>
      <c r="E30" s="19">
        <f>COUNTIFS(Log_Ejecucion!$D$2:$D$47,A30,Log_Ejecucion!$J$2:$J$47,"Pass")</f>
        <v/>
      </c>
      <c r="F30" s="19">
        <f>COUNTIFS(Log_Ejecucion!$D$2:$D$47,A30,Log_Ejecucion!$J$2:$J$47,"Fail")</f>
        <v/>
      </c>
    </row>
    <row r="31" ht="15" customHeight="1" s="13">
      <c r="A31" s="14" t="inlineStr">
        <is>
          <t>Dependencias de datos</t>
        </is>
      </c>
      <c r="B31" s="19">
        <f>COUNTIF(Log_Ejecucion!$D$2:$D$47,A31)</f>
        <v/>
      </c>
      <c r="C31" s="19">
        <f>COUNTIF(Bug_Tracker!$C$2:$C$41,A31)</f>
        <v/>
      </c>
      <c r="D31" s="25">
        <f>IF(B31=0,0,C31/B31)</f>
        <v/>
      </c>
      <c r="E31" s="19">
        <f>COUNTIFS(Log_Ejecucion!$D$2:$D$47,A31,Log_Ejecucion!$J$2:$J$47,"Pass")</f>
        <v/>
      </c>
      <c r="F31" s="19">
        <f>COUNTIFS(Log_Ejecucion!$D$2:$D$47,A31,Log_Ejecucion!$J$2:$J$47,"Fail")</f>
        <v/>
      </c>
    </row>
    <row r="33">
      <c r="A33" s="27" t="inlineStr">
        <is>
          <t>Histórico y ciclo 2</t>
        </is>
      </c>
      <c r="B33" s="27" t="inlineStr">
        <is>
          <t>Valor</t>
        </is>
      </c>
      <c r="C33" s="27" t="inlineStr">
        <is>
          <t>Nota</t>
        </is>
      </c>
    </row>
    <row r="34">
      <c r="A34" s="16" t="inlineStr">
        <is>
          <t>Ciclo 1 (19/10/2026): Pass / Fail</t>
        </is>
      </c>
      <c r="B34" s="28" t="inlineStr">
        <is>
          <t>44 / 2</t>
        </is>
      </c>
      <c r="C34" s="28" t="inlineStr">
        <is>
          <t>Log_Ciclo1_19-10; veredicto NO-GO</t>
        </is>
      </c>
    </row>
    <row r="35">
      <c r="A35" s="16" t="inlineStr">
        <is>
          <t>Ciclo 1: Pass Rate</t>
        </is>
      </c>
      <c r="B35" s="29" t="n">
        <v>0.9565217391304348</v>
      </c>
      <c r="C35" s="28" t="inlineStr">
        <is>
          <t>95.7 %</t>
        </is>
      </c>
    </row>
    <row r="36">
      <c r="A36" s="16" t="inlineStr">
        <is>
          <t>Ciclo 1: Altos abiertos</t>
        </is>
      </c>
      <c r="B36" s="28" t="n">
        <v>2</v>
      </c>
      <c r="C36" s="28" t="inlineStr">
        <is>
          <t>BUG-NEX-01, BUG-NEX-02</t>
        </is>
      </c>
    </row>
    <row r="37">
      <c r="A37" s="16" t="inlineStr">
        <is>
          <t>Ciclo 2: aserciones automatizadas sin fallo</t>
        </is>
      </c>
      <c r="B37" s="28" t="inlineStr">
        <is>
          <t>257 / 257</t>
        </is>
      </c>
      <c r="C37" s="28" t="inlineStr">
        <is>
          <t>184 peticiones: regresión 46 casos + re-prueba + preparación (Resumen_Ejecucion_Ciclo2.json)</t>
        </is>
      </c>
    </row>
    <row r="38">
      <c r="A38" s="16" t="inlineStr">
        <is>
          <t>Ciclo 2: pruebas unitarias de autorización</t>
        </is>
      </c>
      <c r="B38" s="28" t="inlineStr">
        <is>
          <t>26 / 26</t>
        </is>
      </c>
      <c r="C38" s="28" t="inlineStr">
        <is>
          <t>Sin la corrección: 16 / 26 (02_Pruebas_Unitarias)</t>
        </is>
      </c>
    </row>
    <row r="39">
      <c r="A39" s="16" t="inlineStr">
        <is>
          <t>Ciclo 2: defectos re-probados y cerrados</t>
        </is>
      </c>
      <c r="B39" s="28" t="inlineStr">
        <is>
          <t>2 / 2</t>
        </is>
      </c>
      <c r="C39" s="28" t="inlineStr">
        <is>
          <t>Re-prueba aprobada (confirmation testing)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12" min="1" max="1"/>
    <col width="60" customWidth="1" style="12" min="2" max="2"/>
    <col width="22" customWidth="1" style="12" min="3" max="3"/>
    <col width="26" customWidth="1" style="12" min="4" max="4"/>
    <col width="20" customWidth="1" style="12" min="5" max="5"/>
  </cols>
  <sheetData>
    <row r="1" ht="26.25" customHeight="1" s="13">
      <c r="A1" s="18" t="inlineStr">
        <is>
          <t>Metrica_de_Calidad</t>
        </is>
      </c>
      <c r="B1" s="18" t="inlineStr">
        <is>
          <t>Objetivo_Planificado (MTP)</t>
        </is>
      </c>
      <c r="C1" s="18" t="inlineStr">
        <is>
          <t>Valor_Final_Obtenido</t>
        </is>
      </c>
      <c r="D1" s="18" t="inlineStr">
        <is>
          <t>Estado_Criterio</t>
        </is>
      </c>
      <c r="E1" s="18" t="inlineStr">
        <is>
          <t>Especialista_QA_Evaluador</t>
        </is>
      </c>
    </row>
    <row r="2" ht="15" customHeight="1" s="13">
      <c r="A2" s="14" t="inlineStr">
        <is>
          <t>Pruebas críticas ejecutadas</t>
        </is>
      </c>
      <c r="B2" s="15" t="inlineStr">
        <is>
          <t>100% de casos P1 ejecutados y con evidencia</t>
        </is>
      </c>
      <c r="C2" s="24">
        <f>Metricas_TSR!B13</f>
        <v/>
      </c>
      <c r="D2" s="19">
        <f>IF(Metricas_TSR!$B$8=0,"Pendiente",IF(Metricas_TSR!B13=1,"Cumplido","No cumplido"))</f>
        <v/>
      </c>
      <c r="E2" s="15" t="inlineStr">
        <is>
          <t>Luis Contreras</t>
        </is>
      </c>
    </row>
    <row r="3" ht="15" customHeight="1" s="13">
      <c r="A3" s="14" t="inlineStr">
        <is>
          <t>Defectos críticos abiertos</t>
        </is>
      </c>
      <c r="B3" s="15" t="inlineStr">
        <is>
          <t>0 críticos abiertos; críticos corregidos con re-prueba aprobada</t>
        </is>
      </c>
      <c r="C3" s="30">
        <f>Metricas_TSR!B15</f>
        <v/>
      </c>
      <c r="D3" s="19">
        <f>IF(Metricas_TSR!$B$8=0,"Pendiente",IF(Metricas_TSR!B15=0,"Cumplido","No cumplido"))</f>
        <v/>
      </c>
      <c r="E3" s="15" t="inlineStr">
        <is>
          <t>Luis Contreras</t>
        </is>
      </c>
    </row>
    <row r="4" ht="26.25" customHeight="1" s="13">
      <c r="A4" s="14" t="inlineStr">
        <is>
          <t>Defectos altos abiertos</t>
        </is>
      </c>
      <c r="B4" s="15" t="inlineStr">
        <is>
          <t>Máximo 2 altos abiertos, con riesgo documentado, workaround y aceptación del PO</t>
        </is>
      </c>
      <c r="C4" s="30">
        <f>Metricas_TSR!B16</f>
        <v/>
      </c>
      <c r="D4" s="19">
        <f>IF(Metricas_TSR!$B$8=0,"Pendiente",IF(Metricas_TSR!B16=0,"Cumplido",IF(AND(Metricas_TSR!B16&lt;=2,$C$13="Sí"),"Cumplido con aceptación PO","No cumplido")))</f>
        <v/>
      </c>
      <c r="E4" s="15" t="inlineStr">
        <is>
          <t>Luis Contreras</t>
        </is>
      </c>
    </row>
    <row r="5" ht="26.25" customHeight="1" s="13">
      <c r="A5" s="14" t="inlineStr">
        <is>
          <t>Cobertura de requerimientos críticos</t>
        </is>
      </c>
      <c r="B5" s="15" t="inlineStr">
        <is>
          <t>100% de REQ críticos trazados a al menos un caso</t>
        </is>
      </c>
      <c r="C5" s="24">
        <f>IF(COUNTIF(RTM_Final!$B$2:$B$19,"Crítica")=0,0,COUNTIFS(RTM_Final!$B$2:$B$19,"Crítica",RTM_Final!$H$2:$H$19,"&gt;0")/COUNTIF(RTM_Final!$B$2:$B$19,"Crítica"))</f>
        <v/>
      </c>
      <c r="D5" s="19">
        <f>IF(C5=1,"Cumplido","No cumplido")</f>
        <v/>
      </c>
      <c r="E5" s="15" t="inlineStr">
        <is>
          <t>Walter Rosales</t>
        </is>
      </c>
    </row>
    <row r="6" ht="15" customHeight="1" s="13">
      <c r="A6" s="14" t="inlineStr">
        <is>
          <t>Porcentaje de ejecución</t>
        </is>
      </c>
      <c r="B6" s="15" t="inlineStr">
        <is>
          <t>&gt;= 95% de casos planificados ejecutados</t>
        </is>
      </c>
      <c r="C6" s="24">
        <f>Metricas_TSR!B9</f>
        <v/>
      </c>
      <c r="D6" s="19">
        <f>IF(Metricas_TSR!$B$8=0,"Pendiente",IF(Metricas_TSR!B9&gt;=0.95,"Cumplido","No cumplido"))</f>
        <v/>
      </c>
      <c r="E6" s="15" t="inlineStr">
        <is>
          <t>Walter Rosales</t>
        </is>
      </c>
    </row>
    <row r="7" ht="26.25" customHeight="1" s="13">
      <c r="A7" s="14" t="inlineStr">
        <is>
          <t>Tasa de éxito (Pass Rate)</t>
        </is>
      </c>
      <c r="B7" s="15" t="inlineStr">
        <is>
          <t>&gt;= 90% de casos ejecutados en Pass (no estaba en el MTP; se adopta como métrica complementaria según la guía E3)</t>
        </is>
      </c>
      <c r="C7" s="24">
        <f>Metricas_TSR!B10</f>
        <v/>
      </c>
      <c r="D7" s="19">
        <f>IF(Metricas_TSR!$B$8=0,"Pendiente",IF(Metricas_TSR!B10&gt;=0.9,"Cumplido","No cumplido"))</f>
        <v/>
      </c>
      <c r="E7" s="15" t="inlineStr">
        <is>
          <t>Walter Rosales</t>
        </is>
      </c>
    </row>
    <row r="8" ht="26.25" customHeight="1" s="13">
      <c r="A8" s="14" t="inlineStr">
        <is>
          <t>Integridad financiera</t>
        </is>
      </c>
      <c r="B8" s="15" t="inlineStr">
        <is>
          <t>100% de escenarios P1 de depósitos/retiros/transferencias reconcilian saldo, movimiento y caja</t>
        </is>
      </c>
      <c r="C8" s="24">
        <f>IF(COUNTIF(Log_Ejecucion!$M$2:$M$47,"Financiero")=0,0,COUNTIFS(Log_Ejecucion!$M$2:$M$47,"Financiero",Log_Ejecucion!$J$2:$J$47,"Pass")/COUNTIF(Log_Ejecucion!$M$2:$M$47,"Financiero"))</f>
        <v/>
      </c>
      <c r="D8" s="19">
        <f>IF(Metricas_TSR!$B$8=0,"Pendiente",IF(C8=1,"Cumplido","No cumplido"))</f>
        <v/>
      </c>
      <c r="E8" s="15" t="inlineStr">
        <is>
          <t>Sergio Och</t>
        </is>
      </c>
    </row>
    <row r="9" ht="26.25" customHeight="1" s="13">
      <c r="A9" s="14" t="inlineStr">
        <is>
          <t>Autorización</t>
        </is>
      </c>
      <c r="B9" s="15" t="inlineStr">
        <is>
          <t>100% de endpoints P1 probados con usuario permitido y no permitido, sin cambios en intentos denegados</t>
        </is>
      </c>
      <c r="C9" s="24">
        <f>IF(COUNTIF(Log_Ejecucion!$M$2:$M$47,"Autorización")=0,0,COUNTIFS(Log_Ejecucion!$M$2:$M$47,"Autorización",Log_Ejecucion!$J$2:$J$47,"Pass")/COUNTIF(Log_Ejecucion!$M$2:$M$47,"Autorización"))</f>
        <v/>
      </c>
      <c r="D9" s="19">
        <f>IF(Metricas_TSR!$B$8=0,"Pendiente",IF(C9=1,"Cumplido","No cumplido"))</f>
        <v/>
      </c>
      <c r="E9" s="15" t="inlineStr">
        <is>
          <t>Anderson Ariana</t>
        </is>
      </c>
    </row>
    <row r="10" ht="15" customHeight="1" s="13">
      <c r="A10" s="14" t="inlineStr">
        <is>
          <t>Regresión</t>
        </is>
      </c>
      <c r="B10" s="15" t="inlineStr">
        <is>
          <t>Smoke y regresión P1 aprobados en la misma build candidata</t>
        </is>
      </c>
      <c r="C10" s="21" t="inlineStr">
        <is>
          <t>Aprobada</t>
        </is>
      </c>
      <c r="D10" s="19">
        <f>IF(C10="Aprobada","Cumplido",IF(C10="No aprobada","No cumplido","Pendiente"))</f>
        <v/>
      </c>
      <c r="E10" s="15" t="inlineStr">
        <is>
          <t>Luis Contreras</t>
        </is>
      </c>
    </row>
    <row r="13" ht="26.25" customHeight="1" s="13">
      <c r="A13" s="14" t="inlineStr">
        <is>
          <t>Aceptación del PO para altos abiertos</t>
        </is>
      </c>
      <c r="B13" s="15" t="inlineStr">
        <is>
          <t>Solo aplica si hay ≤ 2 altos abiertos con riesgo documentado y workaround · Ciclo 2: no aplica (0 Altos abiertos).</t>
        </is>
      </c>
      <c r="C13" s="21" t="inlineStr">
        <is>
          <t>No</t>
        </is>
      </c>
    </row>
  </sheetData>
  <dataValidations count="2">
    <dataValidation sqref="C10" showDropDown="0" showInputMessage="0" showErrorMessage="0" allowBlank="0" type="list" errorStyle="stop" operator="between">
      <formula1>"Pendiente,Aprobada,No aprobada"</formula1>
      <formula2>0</formula2>
    </dataValidation>
    <dataValidation sqref="C13" showDropDown="0" showInputMessage="0" showErrorMessage="0" allowBlank="0" type="list" errorStyle="stop" operator="between">
      <formula1>"Sí,No"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12" min="1" max="1"/>
    <col width="34" customWidth="1" style="12" min="2" max="2"/>
    <col width="20" customWidth="1" style="12" min="3" max="3"/>
    <col width="70" customWidth="1" style="12" min="4" max="4"/>
  </cols>
  <sheetData>
    <row r="1" ht="26.25" customHeight="1" s="13">
      <c r="A1" s="18" t="inlineStr">
        <is>
          <t>Rol_en_el_Proyecto</t>
        </is>
      </c>
      <c r="B1" s="18" t="inlineStr">
        <is>
          <t>Nombre_del_Integrante</t>
        </is>
      </c>
      <c r="C1" s="18" t="inlineStr">
        <is>
          <t>Veredicto_Individual</t>
        </is>
      </c>
      <c r="D1" s="18" t="inlineStr">
        <is>
          <t>Observaciones_Tecnicas</t>
        </is>
      </c>
    </row>
    <row r="2" ht="15" customHeight="1" s="13">
      <c r="A2" s="14" t="inlineStr">
        <is>
          <t>Líder de QA</t>
        </is>
      </c>
      <c r="B2" s="15" t="inlineStr">
        <is>
          <t>Luis Alejandro Contreras Paredez</t>
        </is>
      </c>
      <c r="C2" s="21" t="inlineStr">
        <is>
          <t>GO</t>
        </is>
      </c>
      <c r="D2" s="15" t="inlineStr">
        <is>
          <t>GO: 9 de 9 criterios cumplidos. BUG-NEX-01 y BUG-NEX-02 cerrados con re-prueba aprobada; regresión completa 46/46 Pass en la build corregida; 30/30 P1.</t>
        </is>
      </c>
    </row>
    <row r="3" ht="15" customHeight="1" s="13">
      <c r="A3" s="14" t="inlineStr">
        <is>
          <t>Especialista QA – Funcional</t>
        </is>
      </c>
      <c r="B3" s="15" t="inlineStr">
        <is>
          <t>Walter Rene Rosales Hurtarte</t>
        </is>
      </c>
      <c r="C3" s="21" t="inlineStr">
        <is>
          <t>GO</t>
        </is>
      </c>
      <c r="D3" s="15" t="inlineStr">
        <is>
          <t>GO: Pass Rate 100 % (46/46). Clientes, cuentas y portal 13/13 Pass en la regresión del ciclo 2.</t>
        </is>
      </c>
    </row>
    <row r="4" ht="26.25" customHeight="1" s="13">
      <c r="A4" s="14" t="inlineStr">
        <is>
          <t>Especialista QA – Técnico / Entornos</t>
        </is>
      </c>
      <c r="B4" s="15" t="inlineStr">
        <is>
          <t>Anderson Alexander Ariana Abadio</t>
        </is>
      </c>
      <c r="C4" s="21" t="inlineStr">
        <is>
          <t>GO</t>
        </is>
      </c>
      <c r="D4" s="15" t="inlineStr">
        <is>
          <t>GO: autorización 5/5 (100 %). BUG-NEX-01 re-probado: 9 rutas sin token → 401, 5 roles sin permiso → 403, accesos legítimos conservados, Mongo sin cambios.</t>
        </is>
      </c>
    </row>
    <row r="5" ht="15" customHeight="1" s="13">
      <c r="A5" s="14" t="inlineStr">
        <is>
          <t>Especialista QA – Datos</t>
        </is>
      </c>
      <c r="B5" s="15" t="inlineStr">
        <is>
          <t>Sergio Eduardo Och Sunun</t>
        </is>
      </c>
      <c r="C5" s="21" t="inlineStr">
        <is>
          <t>GO</t>
        </is>
      </c>
      <c r="D5" s="15" t="inlineStr">
        <is>
          <t>GO: integridad financiera 9/9 con verificación SQL antes/después en los 46 casos. BUG-NEX-02 cerrado (achAprobadas 1, montoAch Q25). OBS-E3-01 sigue elevada al PO.</t>
        </is>
      </c>
    </row>
    <row r="6" ht="26.25" customHeight="1" s="13">
      <c r="A6" s="14" t="inlineStr">
        <is>
          <t>VEREDICTO FINAL DEL EQUIPO</t>
        </is>
      </c>
      <c r="C6" s="19">
        <f>IF(COUNTIF(Criterios_Salida!$D$2:$D$10,"Pendiente")&gt;0,"PENDIENTE",IF(COUNTIF(Criterios_Salida!$D$2:$D$10,"No cumplido")&gt;0,"NO-GO","GO"))</f>
        <v/>
      </c>
      <c r="D6" s="15" t="inlineStr">
        <is>
          <t>Regla del MTP: GO solo si todos los criterios de salida están en Cumplido; cualquier No cumplido = NO-GO. Veredicto del ciclo 2 (22/10/2026); sustituye al NO-GO del 19/10/2026.</t>
        </is>
      </c>
    </row>
    <row r="7" ht="15" customHeight="1" s="13">
      <c r="A7" s="14" t="inlineStr">
        <is>
          <t>Fecha del veredicto</t>
        </is>
      </c>
      <c r="C7" s="20" t="n">
        <v>46317</v>
      </c>
    </row>
    <row r="9">
      <c r="A9" s="22" t="inlineStr">
        <is>
          <t>Acta del ciclo 1 (19/10/2026) — histórico</t>
        </is>
      </c>
      <c r="B9" s="22" t="n"/>
      <c r="C9" s="22" t="n"/>
      <c r="D9" s="22" t="n"/>
    </row>
    <row r="10">
      <c r="A10" s="16" t="inlineStr">
        <is>
          <t>Líder de QA</t>
        </is>
      </c>
      <c r="B10" s="17" t="inlineStr">
        <is>
          <t>Luis Alejandro Contreras Paredez</t>
        </is>
      </c>
      <c r="C10" s="23" t="inlineStr">
        <is>
          <t>NO-GO</t>
        </is>
      </c>
      <c r="D10" s="17" t="inlineStr">
        <is>
          <t>NO-GO: 2 defectos Altos abiertos sin aceptación del PO; regresión P1 no aprobada (TC-REQ03-002 sigue en Fail por BUG-NEX-01). P1 ejecutados 30/30 y ejecución 100 %.</t>
        </is>
      </c>
    </row>
    <row r="11">
      <c r="A11" s="16" t="inlineStr">
        <is>
          <t>Especialista QA – Funcional</t>
        </is>
      </c>
      <c r="B11" s="17" t="inlineStr">
        <is>
          <t>Walter Rene Rosales Hurtarte</t>
        </is>
      </c>
      <c r="C11" s="23" t="inlineStr">
        <is>
          <t>NO-GO</t>
        </is>
      </c>
      <c r="D11" s="17" t="inlineStr">
        <is>
          <t>NO-GO: Pass Rate 95.7 % (44/46) cumple; clientes, cuentas y portal 13/13 Pass; se adhiere al NO-GO por los Altos abiertos.</t>
        </is>
      </c>
    </row>
    <row r="12">
      <c r="A12" s="16" t="inlineStr">
        <is>
          <t>Especialista QA – Técnico / Entornos</t>
        </is>
      </c>
      <c r="B12" s="17" t="inlineStr">
        <is>
          <t>Anderson Alexander Ariana Abadio</t>
        </is>
      </c>
      <c r="C12" s="23" t="inlineStr">
        <is>
          <t>NO-GO</t>
        </is>
      </c>
      <c r="D12" s="17" t="inlineStr">
        <is>
          <t>NO-GO: BUG-NEX-01 confirmado (configuración ACH y escritura sin token); criterio de autorización 4/5 (80 %).</t>
        </is>
      </c>
    </row>
    <row r="13">
      <c r="A13" s="16" t="inlineStr">
        <is>
          <t>Especialista QA – Datos</t>
        </is>
      </c>
      <c r="B13" s="17" t="inlineStr">
        <is>
          <t>Sergio Eduardo Och Sunun</t>
        </is>
      </c>
      <c r="C13" s="23" t="inlineStr">
        <is>
          <t>NO-GO</t>
        </is>
      </c>
      <c r="D13" s="17" t="inlineStr">
        <is>
          <t>NO-GO: integridad financiera 9/9 reconciliada; BUG-NEX-02 deja el reporte ACH incompleto y la caja admite efectivo esperado negativo (OBS-E3-01).</t>
        </is>
      </c>
    </row>
    <row r="14">
      <c r="A14" s="16" t="inlineStr">
        <is>
          <t>VEREDICTO FINAL DEL EQUIPO</t>
        </is>
      </c>
      <c r="C14" s="28" t="inlineStr">
        <is>
          <t>NO-GO</t>
        </is>
      </c>
      <c r="D14" s="17" t="inlineStr">
        <is>
          <t>Regla del MTP: GO solo si todos los criterios de salida están en Cumplido; cualquier No cumplido = NO-GO.</t>
        </is>
      </c>
    </row>
  </sheetData>
  <dataValidations count="1">
    <dataValidation sqref="C2:C5" showDropDown="0" showInputMessage="0" showErrorMessage="0" allowBlank="0" type="list" errorStyle="stop" operator="between">
      <formula1>"Pendiente,GO,NO-GO"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24" customWidth="1" style="12" min="2" max="2"/>
    <col width="50" customWidth="1" style="12" min="3" max="3"/>
    <col width="40" customWidth="1" style="12" min="4" max="4"/>
    <col width="45" customWidth="1" style="12" min="5" max="5"/>
    <col width="22" customWidth="1" style="12" min="6" max="6"/>
  </cols>
  <sheetData>
    <row r="1" ht="15" customHeight="1" s="13">
      <c r="A1" s="18" t="inlineStr">
        <is>
          <t>ID</t>
        </is>
      </c>
      <c r="B1" s="18" t="inlineStr">
        <is>
          <t>Componente</t>
        </is>
      </c>
      <c r="C1" s="18" t="inlineStr">
        <is>
          <t>Configuración / URL</t>
        </is>
      </c>
      <c r="D1" s="18" t="inlineStr">
        <is>
          <t>Estado de verificación</t>
        </is>
      </c>
      <c r="E1" s="18" t="inlineStr">
        <is>
          <t>Evidencia</t>
        </is>
      </c>
      <c r="F1" s="18" t="inlineStr">
        <is>
          <t>Responsable</t>
        </is>
      </c>
    </row>
    <row r="2" ht="26.25" customHeight="1" s="13">
      <c r="A2" s="15" t="inlineStr">
        <is>
          <t>RD-01</t>
        </is>
      </c>
      <c r="B2" s="15" t="inlineStr">
        <is>
          <t>Contenedores QA</t>
        </is>
      </c>
      <c r="C2" s="15" t="inlineStr">
        <is>
          <t>docker compose bancoerp-e2-qa: frontend, internal-api, public-api, postgres, mongo, mock-bank</t>
        </is>
      </c>
      <c r="D2" s="15" t="inlineStr">
        <is>
          <t>APTO: 6 servicios running; postgres healthy</t>
        </is>
      </c>
      <c r="E2" s="15" t="inlineStr">
        <is>
          <t>Readiness_Log.txt; 04_Readiness_Observado.png</t>
        </is>
      </c>
      <c r="F2" s="15" t="inlineStr">
        <is>
          <t>Luis (Líder QA)</t>
        </is>
      </c>
    </row>
    <row r="3" ht="15" customHeight="1" s="13">
      <c r="A3" s="15" t="inlineStr">
        <is>
          <t>RD-02</t>
        </is>
      </c>
      <c r="B3" s="15" t="inlineStr">
        <is>
          <t>Frontend React</t>
        </is>
      </c>
      <c r="C3" s="15" t="inlineStr">
        <is>
          <t>http://localhost:13000/login</t>
        </is>
      </c>
      <c r="D3" s="15" t="inlineStr">
        <is>
          <t>APTO: HTTP 200 (text/html)</t>
        </is>
      </c>
      <c r="E3" s="15" t="inlineStr">
        <is>
          <t>01_Frontend_QA_login_13000.png</t>
        </is>
      </c>
      <c r="F3" s="15" t="inlineStr">
        <is>
          <t>Walter (QA Funcional)</t>
        </is>
      </c>
    </row>
    <row r="4" ht="26.25" customHeight="1" s="13">
      <c r="A4" s="15" t="inlineStr">
        <is>
          <t>RD-03</t>
        </is>
      </c>
      <c r="B4" s="15" t="inlineStr">
        <is>
          <t>InternalAPI .NET</t>
        </is>
      </c>
      <c r="C4" s="15" t="inlineStr">
        <is>
          <t>http://localhost:15141/swagger/v1/swagger.json</t>
        </is>
      </c>
      <c r="D4" s="15" t="inlineStr">
        <is>
          <t>APTO: HTTP 200; 72 rutas</t>
        </is>
      </c>
      <c r="E4" s="15" t="inlineStr">
        <is>
          <t>02_Swagger_InternalAPI_15141.png; OpenAPI_Interna.json</t>
        </is>
      </c>
      <c r="F4" s="15" t="inlineStr">
        <is>
          <t>Anderson (QA Técnico)</t>
        </is>
      </c>
    </row>
    <row r="5" ht="26.25" customHeight="1" s="13">
      <c r="A5" s="15" t="inlineStr">
        <is>
          <t>RD-04</t>
        </is>
      </c>
      <c r="B5" s="15" t="inlineStr">
        <is>
          <t>PublicAPI .NET</t>
        </is>
      </c>
      <c r="C5" s="15" t="inlineStr">
        <is>
          <t>http://localhost:15254/swagger/v1/swagger.json</t>
        </is>
      </c>
      <c r="D5" s="15" t="inlineStr">
        <is>
          <t>APTO: HTTP 200; 4 rutas</t>
        </is>
      </c>
      <c r="E5" s="15" t="inlineStr">
        <is>
          <t>03_Swagger_PublicAPI_15254.png; OpenAPI_Publica.json</t>
        </is>
      </c>
      <c r="F5" s="15" t="inlineStr">
        <is>
          <t>Anderson (QA Técnico)</t>
        </is>
      </c>
    </row>
    <row r="6" ht="26.25" customHeight="1" s="13">
      <c r="A6" s="15" t="inlineStr">
        <is>
          <t>RD-05</t>
        </is>
      </c>
      <c r="B6" s="15" t="inlineStr">
        <is>
          <t>PostgreSQL 16 QA</t>
        </is>
      </c>
      <c r="C6" s="15" t="inlineStr">
        <is>
          <t>127.0.0.1:15433 / bancoerp_e2_qa</t>
        </is>
      </c>
      <c r="D6" s="15" t="inlineStr">
        <is>
          <t>APTO: 8 usuarios, 1 000 clientes, 2 000 cuentas, 10 000 movimientos</t>
        </is>
      </c>
      <c r="E6" s="15" t="inlineStr">
        <is>
          <t>Readiness_Resultados.json (RD-05)</t>
        </is>
      </c>
      <c r="F6" s="15" t="inlineStr">
        <is>
          <t>Sergio (QA Datos)</t>
        </is>
      </c>
    </row>
    <row r="7" ht="39" customHeight="1" s="13">
      <c r="A7" s="15" t="inlineStr">
        <is>
          <t>RD-06</t>
        </is>
      </c>
      <c r="B7" s="15" t="inlineStr">
        <is>
          <t>Aislamiento de producción</t>
        </is>
      </c>
      <c r="C7" s="15" t="inlineStr">
        <is>
          <t>Red bancoerp-e2-qa_default; volúmenes propios; host postgres interno; puertos solo 127.0.0.1; código montado solo lectura</t>
        </is>
      </c>
      <c r="D7" s="15" t="inlineStr">
        <is>
          <t>APTO: sin destinos productivos configurados</t>
        </is>
      </c>
      <c r="E7" s="15" t="inlineStr">
        <is>
          <t>Readiness_Resultados.json (RD-06); docker-compose.qa.yml</t>
        </is>
      </c>
      <c r="F7" s="15" t="inlineStr">
        <is>
          <t>Anderson (QA Técnico)</t>
        </is>
      </c>
    </row>
    <row r="8" ht="26.25" customHeight="1" s="13">
      <c r="A8" s="15" t="inlineStr">
        <is>
          <t>RD-07</t>
        </is>
      </c>
      <c r="B8" s="15" t="inlineStr">
        <is>
          <t>MongoDB 8 (ACH)</t>
        </is>
      </c>
      <c r="C8" s="15" t="inlineStr">
        <is>
          <t>127.0.0.1:17017 / bancoerp_e2_qa</t>
        </is>
      </c>
      <c r="D8" s="15" t="inlineStr">
        <is>
          <t>APTO: 5 bancos simulados locales, ninguno real</t>
        </is>
      </c>
      <c r="E8" s="15" t="inlineStr">
        <is>
          <t>Readiness_Log.txt (RD-07)</t>
        </is>
      </c>
      <c r="F8" s="15" t="inlineStr">
        <is>
          <t>Sergio (QA Datos)</t>
        </is>
      </c>
    </row>
    <row r="9" ht="26.25" customHeight="1" s="13">
      <c r="A9" s="15" t="inlineStr">
        <is>
          <t>RD-08</t>
        </is>
      </c>
      <c r="B9" s="15" t="inlineStr">
        <is>
          <t>Login interno</t>
        </is>
      </c>
      <c r="C9" s="15" t="inlineStr">
        <is>
          <t>POST :15141/api/auth/login (qa_cajero)</t>
        </is>
      </c>
      <c r="D9" s="15" t="inlineStr">
        <is>
          <t>APTO: HTTP 200; token presente (enmascarado)</t>
        </is>
      </c>
      <c r="E9" s="15" t="inlineStr">
        <is>
          <t>Readiness_Resultados.json (RD-08)</t>
        </is>
      </c>
      <c r="F9" s="15" t="inlineStr">
        <is>
          <t>Walter (QA Funcional)</t>
        </is>
      </c>
    </row>
    <row r="10" ht="26.25" customHeight="1" s="13">
      <c r="A10" s="15" t="inlineStr">
        <is>
          <t>RD-09</t>
        </is>
      </c>
      <c r="B10" s="15" t="inlineStr">
        <is>
          <t>Login externo</t>
        </is>
      </c>
      <c r="C10" s="15" t="inlineStr">
        <is>
          <t>POST :15254/api/external/auth/login</t>
        </is>
      </c>
      <c r="D10" s="15" t="inlineStr">
        <is>
          <t>APTO: HTTP 200; token presente (enmascarado)</t>
        </is>
      </c>
      <c r="E10" s="15" t="inlineStr">
        <is>
          <t>Readiness_Resultados.json (RD-09)</t>
        </is>
      </c>
      <c r="F10" s="15" t="inlineStr">
        <is>
          <t>Anderson (QA Técnico)</t>
        </is>
      </c>
    </row>
    <row r="11" ht="39" customHeight="1" s="13">
      <c r="A11" s="15" t="inlineStr">
        <is>
          <t>RD-10</t>
        </is>
      </c>
      <c r="B11" s="15" t="inlineStr">
        <is>
          <t>Cuenta destino sintética</t>
        </is>
      </c>
      <c r="C11" s="15" t="inlineStr">
        <is>
          <t>GET :15254/api/external/ach/cuentas/search/AH000000000001</t>
        </is>
      </c>
      <c r="D11" s="15" t="inlineStr">
        <is>
          <t>APTO: HTTP 200; "Cuenta encontrada."</t>
        </is>
      </c>
      <c r="E11" s="15" t="inlineStr">
        <is>
          <t>Readiness_Resultados.json (RD-10)</t>
        </is>
      </c>
      <c r="F11" s="15" t="inlineStr">
        <is>
          <t>Sergio (QA Datos)</t>
        </is>
      </c>
    </row>
    <row r="12" ht="26.25" customHeight="1" s="13">
      <c r="A12" s="15" t="inlineStr">
        <is>
          <t>RD-11</t>
        </is>
      </c>
      <c r="B12" s="15" t="inlineStr">
        <is>
          <t>Control de autenticación</t>
        </is>
      </c>
      <c r="C12" s="15" t="inlineStr">
        <is>
          <t>GET :15141/api/clientes sin token</t>
        </is>
      </c>
      <c r="D12" s="15" t="inlineStr">
        <is>
          <t>APTO: HTTP 401</t>
        </is>
      </c>
      <c r="E12" s="15" t="inlineStr">
        <is>
          <t>Readiness_Resultados.json (RD-11)</t>
        </is>
      </c>
      <c r="F12" s="15" t="inlineStr">
        <is>
          <t>Anderson (QA Técnico)</t>
        </is>
      </c>
    </row>
    <row r="13" ht="26.25" customHeight="1" s="13">
      <c r="A13" s="15" t="inlineStr">
        <is>
          <t>RD-12</t>
        </is>
      </c>
      <c r="B13" s="15" t="inlineStr">
        <is>
          <t>CORS permitido</t>
        </is>
      </c>
      <c r="C13" s="15" t="inlineStr">
        <is>
          <t>OPTIONS con Origin http://localhost:13000</t>
        </is>
      </c>
      <c r="D13" s="15" t="inlineStr">
        <is>
          <t>APTO: HTTP 204; allow-origin correcto</t>
        </is>
      </c>
      <c r="E13" s="15" t="inlineStr">
        <is>
          <t>Readiness_Resultados.json (RD-12)</t>
        </is>
      </c>
      <c r="F13" s="15" t="inlineStr">
        <is>
          <t>Anderson (QA Técnico)</t>
        </is>
      </c>
    </row>
    <row r="14" ht="26.25" customHeight="1" s="13">
      <c r="A14" s="15" t="inlineStr">
        <is>
          <t>RD-13</t>
        </is>
      </c>
      <c r="B14" s="15" t="inlineStr">
        <is>
          <t>CORS no permitido</t>
        </is>
      </c>
      <c r="C14" s="15" t="inlineStr">
        <is>
          <t>OPTIONS con Origin http://origen-no-permitido.invalid</t>
        </is>
      </c>
      <c r="D14" s="15" t="inlineStr">
        <is>
          <t>APTO: sin allow-origin</t>
        </is>
      </c>
      <c r="E14" s="15" t="inlineStr">
        <is>
          <t>Readiness_Resultados.json (RD-13)</t>
        </is>
      </c>
      <c r="F14" s="15" t="inlineStr">
        <is>
          <t>Anderson (QA Técnico)</t>
        </is>
      </c>
    </row>
    <row r="15" ht="39" customHeight="1" s="13">
      <c r="A15" s="15" t="inlineStr">
        <is>
          <t>RD-14</t>
        </is>
      </c>
      <c r="B15" s="15" t="inlineStr">
        <is>
          <t>Colección API Postman</t>
        </is>
      </c>
      <c r="C15" s="15" t="inlineStr">
        <is>
          <t>Postman v2.1 + ambiente QA local</t>
        </is>
      </c>
      <c r="D15" s="15" t="inlineStr">
        <is>
          <t>APTO (06/10): colección registrada con SHA-256. Versión Nexus de 46 casos: Postman_Collection_QA_Nexus.json</t>
        </is>
      </c>
      <c r="E15" s="15" t="inlineStr">
        <is>
          <t>Readiness_Resultados.json (RD-14); Postman_Collection_QA_Nexus.json</t>
        </is>
      </c>
      <c r="F15" s="15" t="inlineStr">
        <is>
          <t>Walter (QA Funcional)</t>
        </is>
      </c>
    </row>
    <row r="16" ht="26.25" customHeight="1" s="13">
      <c r="A16" s="15" t="inlineStr">
        <is>
          <t>RD-15</t>
        </is>
      </c>
      <c r="B16" s="15" t="inlineStr">
        <is>
          <t>Banco externo simulado</t>
        </is>
      </c>
      <c r="C16" s="15" t="inlineStr">
        <is>
          <t>http://localhost:18081/health (mock-bank)</t>
        </is>
      </c>
      <c r="D16" s="15" t="inlineStr">
        <is>
          <t>APTO: READY; escenarios success, http500, invalid, timeout, duplicate</t>
        </is>
      </c>
      <c r="E16" s="15" t="inlineStr">
        <is>
          <t>Readiness_Resultados.json (RD-15)</t>
        </is>
      </c>
      <c r="F16" s="15" t="inlineStr">
        <is>
          <t>Anderson (QA Técnico)</t>
        </is>
      </c>
    </row>
    <row r="17" ht="26.25" customHeight="1" s="13">
      <c r="A17" s="15" t="inlineStr">
        <is>
          <t>RD-16</t>
        </is>
      </c>
      <c r="B17" s="15" t="inlineStr">
        <is>
          <t>Capa de datos Nexus</t>
        </is>
      </c>
      <c r="C17" s="15" t="inlineStr">
        <is>
          <t>MockData_Fixtures_Nexus.sql + QA_Readiness_Check_Nexus.sql (C-01..C-13)</t>
        </is>
      </c>
      <c r="D17" s="15" t="inlineStr">
        <is>
          <t>APTO: fixture cargado y 13/13 consultas con ok = t (19/10/2026)</t>
        </is>
      </c>
      <c r="E17" s="15" t="inlineStr">
        <is>
          <t>Logs_Consola_Servidor/Checklist_DB_Nexus.txt; Carga_Fixture_Nexus.txt</t>
        </is>
      </c>
      <c r="F17" s="15" t="inlineStr">
        <is>
          <t>Sergio (QA Datos)</t>
        </is>
      </c>
    </row>
    <row r="18">
      <c r="A18" s="17" t="inlineStr">
        <is>
          <t>RD-16 (ciclo 2)</t>
        </is>
      </c>
      <c r="B18" s="17" t="inlineStr">
        <is>
          <t>Entorno de re-prueba</t>
        </is>
      </c>
      <c r="C18" s="17" t="inlineStr">
        <is>
          <t>docker compose -p bancoerp-e3-retest (volúmenes nuevos) + 009_ach_seed.sql</t>
        </is>
      </c>
      <c r="D18" s="17" t="inlineStr">
        <is>
          <t>APTO 22/10/2026: checklist 13/13 ok = t; smoke 5/5 HTTP 200; permisos ACH por rol verificados (OBS-RT-01 corregida)</t>
        </is>
      </c>
      <c r="E18" s="17" t="inlineStr">
        <is>
          <t>Re_Prueba_Cierre_E3/01_Entorno</t>
        </is>
      </c>
      <c r="F18" s="17" t="inlineStr">
        <is>
          <t>Luis (Líder QA)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2" min="1" max="1"/>
    <col width="70" customWidth="1" style="12" min="2" max="2"/>
    <col width="60" customWidth="1" style="12" min="3" max="3"/>
  </cols>
  <sheetData>
    <row r="1" ht="15" customHeight="1" s="13">
      <c r="A1" s="18" t="inlineStr">
        <is>
          <t>Área</t>
        </is>
      </c>
      <c r="B1" s="18" t="inlineStr">
        <is>
          <t>Qué pasó en el proyecto</t>
        </is>
      </c>
      <c r="C1" s="18" t="inlineStr">
        <is>
          <t>Qué haremos distinto</t>
        </is>
      </c>
    </row>
    <row r="2" ht="39" customHeight="1" s="13">
      <c r="A2" s="15" t="inlineStr">
        <is>
          <t>Ambiente</t>
        </is>
      </c>
      <c r="B2" s="15" t="inlineStr">
        <is>
          <t>El docker-compose de desarrollo apuntaba a una BD remota; hubo que crear docker-compose.qa.yml con PostgreSQL aislado antes de poder ejecutar.</t>
        </is>
      </c>
      <c r="C2" s="15" t="inlineStr">
        <is>
          <t>Definir el ambiente QA aislado desde la Entrega 1, como entregable del plan.</t>
        </is>
      </c>
    </row>
    <row r="3" ht="39" customHeight="1" s="13">
      <c r="A3" s="15" t="inlineStr">
        <is>
          <t>Requerimientos</t>
        </is>
      </c>
      <c r="B3" s="15" t="inlineStr">
        <is>
          <t>Cuatro reglas quedaron ambiguas (H-01 límite diario por canal, H-03 tolerancia de caja, H-04 timeout ACH, H-05 matriz de permisos) y bloquearon oráculos.</t>
        </is>
      </c>
      <c r="C3" s="15" t="inlineStr">
        <is>
          <t>Pedir al PO las reglas faltantes antes de diseñar; registrar cada decisión con fecha y responsable.</t>
        </is>
      </c>
    </row>
    <row r="4" ht="39" customHeight="1" s="13">
      <c r="A4" s="15" t="inlineStr">
        <is>
          <t>Control de versiones</t>
        </is>
      </c>
      <c r="B4" s="15" t="inlineStr">
        <is>
          <t>Existieron dos versiones del paquete de la E2 (18 y 24 requerimientos) con IDs que no coincidían.</t>
        </is>
      </c>
      <c r="C4" s="15" t="inlineStr">
        <is>
          <t>Una sola fuente de verdad (Excel) de la que se generan Word, Postman y Mock Data; validar coherencia cruzada antes de entregar.</t>
        </is>
      </c>
    </row>
    <row r="5" ht="26.25" customHeight="1" s="13">
      <c r="A5" s="15" t="inlineStr">
        <is>
          <t>Datos</t>
        </is>
      </c>
      <c r="B5" s="15" t="inlineStr">
        <is>
          <t>La carga masiva no servía para casos de frontera; se necesitó una capa de fixtures exacta e idempotente.</t>
        </is>
      </c>
      <c r="C5" s="15" t="inlineStr">
        <is>
          <t>Diseñar los datos por caso (Test Data Matrix) junto con el caso, no después.</t>
        </is>
      </c>
    </row>
    <row r="6" ht="26.25" customHeight="1" s="13">
      <c r="A6" s="15" t="inlineStr">
        <is>
          <t>Seguridad</t>
        </is>
      </c>
      <c r="B6" s="15" t="inlineStr">
        <is>
          <t>El readiness detectó un endpoint de configuración accesible sin token antes de ejecutar la suite.</t>
        </is>
      </c>
      <c r="C6" s="15" t="inlineStr">
        <is>
          <t>Incluir un barrido de endpoints sin token en el smoke de cada build.</t>
        </is>
      </c>
    </row>
    <row r="7">
      <c r="A7" s="17" t="inlineStr">
        <is>
          <t>Oráculos automatizados</t>
        </is>
      </c>
      <c r="B7" s="17" t="inlineStr">
        <is>
          <t>La aserción de TC-REQ16-001 solo buscaba "4000" y pasaba aunque el reporte omitía la ACH entrante.</t>
        </is>
      </c>
      <c r="C7" s="17" t="inlineStr">
        <is>
          <t>Comparar campo por campo; en el ciclo 2 TC-REQ16-001 valida 11 totales.</t>
        </is>
      </c>
    </row>
    <row r="8">
      <c r="A8" s="17" t="inlineStr">
        <is>
          <t>Ambiente vs. producción</t>
        </is>
      </c>
      <c r="B8" s="17" t="inlineStr">
        <is>
          <t>El esquema QA omitió 009_ach_seed.sql; se notó cuando la corrección exigió permisos ACH (OBS-RT-01).</t>
        </is>
      </c>
      <c r="C8" s="17" t="inlineStr">
        <is>
          <t>Construir el esquema QA con la misma lista de scripts del despliegue a producción.</t>
        </is>
      </c>
    </row>
    <row r="9">
      <c r="A9" s="17" t="inlineStr">
        <is>
          <t>Prevención de regresiones</t>
        </is>
      </c>
      <c r="B9" s="17" t="inlineStr">
        <is>
          <t>BUG-NEX-01 fue un [Authorize] olvidado en un controlador.</t>
        </is>
      </c>
      <c r="C9" s="17" t="inlineStr">
        <is>
          <t>Prueba unitaria que recorre todos los controladores y falla si un endpoint queda sin autorización.</t>
        </is>
      </c>
    </row>
    <row r="10">
      <c r="A10" s="17" t="inlineStr">
        <is>
          <t>Re-prueba reproducible</t>
        </is>
      </c>
      <c r="B10" s="17" t="inlineStr">
        <is>
          <t>El ciclo 2 se ejecutó con scripts y se repitió desde cero tras cada interrupción.</t>
        </is>
      </c>
      <c r="C10" s="17" t="inlineStr">
        <is>
          <t>Mantener el kit de ejecución versionado junto a la colección.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2026-10-19T03:17:09Z</dcterms:created>
  <dcterms:modified xmlns:dcterms="http://purl.org/dc/terms/" xmlns:xsi="http://www.w3.org/2001/XMLSchema-instance" xsi:type="dcterms:W3CDTF">2026-10-23T00:50:05Z</dcterms:modified>
  <cp:revision>0</cp:revision>
</cp:coreProperties>
</file>